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124226"/>
  <mc:AlternateContent xmlns:mc="http://schemas.openxmlformats.org/markup-compatibility/2006">
    <mc:Choice Requires="x15">
      <x15ac:absPath xmlns:x15ac="http://schemas.microsoft.com/office/spreadsheetml/2010/11/ac" url="D:\SEM1\Ajmal.Excel\Assignment\"/>
    </mc:Choice>
  </mc:AlternateContent>
  <xr:revisionPtr revIDLastSave="0" documentId="13_ncr:1_{1578F716-892F-4CE3-9E60-E61C7A6DCC7A}" xr6:coauthVersionLast="47" xr6:coauthVersionMax="47" xr10:uidLastSave="{00000000-0000-0000-0000-000000000000}"/>
  <bookViews>
    <workbookView xWindow="-108" yWindow="-108" windowWidth="23256" windowHeight="12456" firstSheet="5" activeTab="9" xr2:uid="{00000000-000D-0000-FFFF-FFFF00000000}"/>
  </bookViews>
  <sheets>
    <sheet name="Tasks" sheetId="5" r:id="rId1"/>
    <sheet name="Products" sheetId="2" r:id="rId2"/>
    <sheet name="Customers" sheetId="3" r:id="rId3"/>
    <sheet name="Invoices" sheetId="4" r:id="rId4"/>
    <sheet name="Profit_margin" sheetId="8" r:id="rId5"/>
    <sheet name="Region vs cust type" sheetId="9" r:id="rId6"/>
    <sheet name="Region vs Product line" sheetId="10" r:id="rId7"/>
    <sheet name=" Product  analysis" sheetId="12" r:id="rId8"/>
    <sheet name="Return_Analysis Sheet" sheetId="15" r:id="rId9"/>
    <sheet name="DashBoard" sheetId="13" r:id="rId10"/>
  </sheets>
  <definedNames>
    <definedName name="_xlnm._FilterDatabase" localSheetId="2" hidden="1">'Customers'!$A$1:$D$20</definedName>
    <definedName name="NativeTimeline_Date">#N/A</definedName>
    <definedName name="Slicer_Customer_Region">#N/A</definedName>
    <definedName name="Slicer_Customer_Type">#N/A</definedName>
    <definedName name="Slicer_Product_Line">#N/A</definedName>
    <definedName name="Slicer_Product_Value">#N/A</definedName>
  </definedNames>
  <calcPr calcId="191029"/>
  <pivotCaches>
    <pivotCache cacheId="13" r:id="rId11"/>
  </pivotCaches>
  <extLst>
    <ext xmlns:x14="http://schemas.microsoft.com/office/spreadsheetml/2009/9/main" uri="{BBE1A952-AA13-448e-AADC-164F8A28A991}">
      <x14:slicerCaches>
        <x14:slicerCache r:id="rId12"/>
        <x14:slicerCache r:id="rId13"/>
        <x14:slicerCache r:id="rId14"/>
        <x14:slicerCache r:id="rId15"/>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6"/>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3" i="13" l="1"/>
  <c r="F3" i="13"/>
  <c r="D3" i="13"/>
  <c r="B3" i="13"/>
  <c r="W2" i="4"/>
  <c r="W3" i="4"/>
  <c r="W4" i="4"/>
  <c r="W5" i="4"/>
  <c r="W6" i="4"/>
  <c r="W7" i="4"/>
  <c r="W8" i="4"/>
  <c r="W9" i="4"/>
  <c r="W10" i="4"/>
  <c r="W11" i="4"/>
  <c r="W12" i="4"/>
  <c r="W13" i="4"/>
  <c r="W14" i="4"/>
  <c r="W15" i="4"/>
  <c r="W16" i="4"/>
  <c r="W17" i="4"/>
  <c r="W18" i="4"/>
  <c r="W19" i="4"/>
  <c r="W20" i="4"/>
  <c r="W21" i="4"/>
  <c r="W22" i="4"/>
  <c r="W23" i="4"/>
  <c r="W24" i="4"/>
  <c r="W25" i="4"/>
  <c r="W26" i="4"/>
  <c r="W27" i="4"/>
  <c r="W28" i="4"/>
  <c r="W29" i="4"/>
  <c r="W30" i="4"/>
  <c r="W31" i="4"/>
  <c r="W32" i="4"/>
  <c r="W33" i="4"/>
  <c r="W34" i="4"/>
  <c r="W35" i="4"/>
  <c r="W36" i="4"/>
  <c r="W37" i="4"/>
  <c r="W38" i="4"/>
  <c r="W39" i="4"/>
  <c r="W40" i="4"/>
  <c r="W41" i="4"/>
  <c r="W42" i="4"/>
  <c r="W43" i="4"/>
  <c r="W44" i="4"/>
  <c r="W45" i="4"/>
  <c r="W46" i="4"/>
  <c r="W47" i="4"/>
  <c r="W48" i="4"/>
  <c r="W49" i="4"/>
  <c r="W50" i="4"/>
  <c r="W51" i="4"/>
  <c r="W52" i="4"/>
  <c r="W53" i="4"/>
  <c r="W54" i="4"/>
  <c r="W55" i="4"/>
  <c r="W56" i="4"/>
  <c r="W57" i="4"/>
  <c r="W58" i="4"/>
  <c r="W59" i="4"/>
  <c r="W60" i="4"/>
  <c r="W61" i="4"/>
  <c r="W62" i="4"/>
  <c r="W63" i="4"/>
  <c r="W64" i="4"/>
  <c r="W65" i="4"/>
  <c r="W66" i="4"/>
  <c r="W67" i="4"/>
  <c r="W68" i="4"/>
  <c r="W69" i="4"/>
  <c r="W70" i="4"/>
  <c r="W71" i="4"/>
  <c r="W72" i="4"/>
  <c r="W73" i="4"/>
  <c r="W74" i="4"/>
  <c r="W75" i="4"/>
  <c r="W76" i="4"/>
  <c r="W77" i="4"/>
  <c r="W78" i="4"/>
  <c r="W79" i="4"/>
  <c r="W80" i="4"/>
  <c r="W81" i="4"/>
  <c r="W82" i="4"/>
  <c r="W83" i="4"/>
  <c r="W84" i="4"/>
  <c r="W85" i="4"/>
  <c r="W86" i="4"/>
  <c r="W87" i="4"/>
  <c r="W88" i="4"/>
  <c r="W89" i="4"/>
  <c r="W90" i="4"/>
  <c r="W91" i="4"/>
  <c r="W92" i="4"/>
  <c r="W93" i="4"/>
  <c r="W94" i="4"/>
  <c r="W95" i="4"/>
  <c r="W96" i="4"/>
  <c r="W97" i="4"/>
  <c r="W98" i="4"/>
  <c r="W99" i="4"/>
  <c r="W100" i="4"/>
  <c r="W101" i="4"/>
  <c r="W102" i="4"/>
  <c r="W103" i="4"/>
  <c r="W104" i="4"/>
  <c r="W105" i="4"/>
  <c r="W106" i="4"/>
  <c r="W107" i="4"/>
  <c r="W108" i="4"/>
  <c r="W109" i="4"/>
  <c r="W110" i="4"/>
  <c r="W111" i="4"/>
  <c r="W112" i="4"/>
  <c r="W113" i="4"/>
  <c r="W114" i="4"/>
  <c r="W115" i="4"/>
  <c r="W116" i="4"/>
  <c r="W117" i="4"/>
  <c r="W118" i="4"/>
  <c r="W119" i="4"/>
  <c r="W120" i="4"/>
  <c r="W121" i="4"/>
  <c r="W122" i="4"/>
  <c r="W123" i="4"/>
  <c r="W124" i="4"/>
  <c r="W125" i="4"/>
  <c r="W126" i="4"/>
  <c r="W127" i="4"/>
  <c r="W128" i="4"/>
  <c r="W129" i="4"/>
  <c r="W130" i="4"/>
  <c r="W131" i="4"/>
  <c r="W132" i="4"/>
  <c r="W133" i="4"/>
  <c r="W134" i="4"/>
  <c r="W135" i="4"/>
  <c r="W136" i="4"/>
  <c r="W137" i="4"/>
  <c r="W138" i="4"/>
  <c r="W139" i="4"/>
  <c r="W140" i="4"/>
  <c r="W141" i="4"/>
  <c r="W142" i="4"/>
  <c r="W143" i="4"/>
  <c r="W144" i="4"/>
  <c r="W145" i="4"/>
  <c r="W146" i="4"/>
  <c r="W147" i="4"/>
  <c r="W148" i="4"/>
  <c r="W149" i="4"/>
  <c r="W150" i="4"/>
  <c r="W151" i="4"/>
  <c r="W152" i="4"/>
  <c r="W153" i="4"/>
  <c r="W154" i="4"/>
  <c r="W155" i="4"/>
  <c r="W156" i="4"/>
  <c r="W157" i="4"/>
  <c r="W158" i="4"/>
  <c r="W159" i="4"/>
  <c r="W160" i="4"/>
  <c r="W161" i="4"/>
  <c r="W162" i="4"/>
  <c r="W163" i="4"/>
  <c r="W164" i="4"/>
  <c r="W165" i="4"/>
  <c r="W166" i="4"/>
  <c r="W167" i="4"/>
  <c r="W168" i="4"/>
  <c r="W169" i="4"/>
  <c r="W170" i="4"/>
  <c r="W171" i="4"/>
  <c r="W172" i="4"/>
  <c r="W173" i="4"/>
  <c r="W174" i="4"/>
  <c r="W175" i="4"/>
  <c r="W176" i="4"/>
  <c r="W177" i="4"/>
  <c r="W178" i="4"/>
  <c r="W179" i="4"/>
  <c r="W180" i="4"/>
  <c r="W181" i="4"/>
  <c r="W182" i="4"/>
  <c r="W183" i="4"/>
  <c r="W184" i="4"/>
  <c r="W185" i="4"/>
  <c r="W186" i="4"/>
  <c r="W187" i="4"/>
  <c r="W188" i="4"/>
  <c r="W189" i="4"/>
  <c r="W190" i="4"/>
  <c r="W191" i="4"/>
  <c r="W192" i="4"/>
  <c r="W193" i="4"/>
  <c r="W194" i="4"/>
  <c r="W195" i="4"/>
  <c r="W196" i="4"/>
  <c r="W197" i="4"/>
  <c r="W198" i="4"/>
  <c r="W199" i="4"/>
  <c r="W200" i="4"/>
  <c r="W201" i="4"/>
  <c r="W202" i="4"/>
  <c r="W203" i="4"/>
  <c r="W204" i="4"/>
  <c r="W205" i="4"/>
  <c r="W206" i="4"/>
  <c r="W207" i="4"/>
  <c r="W208" i="4"/>
  <c r="W209" i="4"/>
  <c r="W210" i="4"/>
  <c r="W211" i="4"/>
  <c r="W212" i="4"/>
  <c r="W213" i="4"/>
  <c r="W214" i="4"/>
  <c r="W215" i="4"/>
  <c r="W216" i="4"/>
  <c r="W217" i="4"/>
  <c r="W218" i="4"/>
  <c r="W219" i="4"/>
  <c r="W220" i="4"/>
  <c r="W221" i="4"/>
  <c r="W222" i="4"/>
  <c r="W223" i="4"/>
  <c r="W224" i="4"/>
  <c r="W225" i="4"/>
  <c r="W226" i="4"/>
  <c r="W227" i="4"/>
  <c r="W228" i="4"/>
  <c r="W229" i="4"/>
  <c r="W230" i="4"/>
  <c r="W231" i="4"/>
  <c r="W232" i="4"/>
  <c r="W233" i="4"/>
  <c r="W234" i="4"/>
  <c r="W235" i="4"/>
  <c r="W236" i="4"/>
  <c r="W237" i="4"/>
  <c r="W238" i="4"/>
  <c r="W239" i="4"/>
  <c r="W240" i="4"/>
  <c r="W241" i="4"/>
  <c r="W242" i="4"/>
  <c r="W243" i="4"/>
  <c r="W244" i="4"/>
  <c r="W245" i="4"/>
  <c r="W246" i="4"/>
  <c r="W247" i="4"/>
  <c r="W248" i="4"/>
  <c r="W249" i="4"/>
  <c r="W250" i="4"/>
  <c r="W251" i="4"/>
  <c r="W252" i="4"/>
  <c r="W253" i="4"/>
  <c r="W254" i="4"/>
  <c r="W255" i="4"/>
  <c r="W256" i="4"/>
  <c r="W257" i="4"/>
  <c r="W258" i="4"/>
  <c r="W259" i="4"/>
  <c r="W260" i="4"/>
  <c r="W261" i="4"/>
  <c r="W262" i="4"/>
  <c r="W263" i="4"/>
  <c r="W264" i="4"/>
  <c r="W265" i="4"/>
  <c r="W266" i="4"/>
  <c r="W267" i="4"/>
  <c r="W268" i="4"/>
  <c r="W269" i="4"/>
  <c r="W270" i="4"/>
  <c r="W271" i="4"/>
  <c r="W272" i="4"/>
  <c r="W273" i="4"/>
  <c r="W274" i="4"/>
  <c r="W275" i="4"/>
  <c r="W276" i="4"/>
  <c r="W277" i="4"/>
  <c r="W278" i="4"/>
  <c r="W279" i="4"/>
  <c r="W280" i="4"/>
  <c r="W281" i="4"/>
  <c r="W282" i="4"/>
  <c r="W283" i="4"/>
  <c r="W284" i="4"/>
  <c r="W285" i="4"/>
  <c r="W286" i="4"/>
  <c r="W287" i="4"/>
  <c r="W288" i="4"/>
  <c r="W289" i="4"/>
  <c r="W290" i="4"/>
  <c r="W291" i="4"/>
  <c r="W292" i="4"/>
  <c r="W293" i="4"/>
  <c r="W294" i="4"/>
  <c r="W295" i="4"/>
  <c r="W296" i="4"/>
  <c r="W297" i="4"/>
  <c r="W298" i="4"/>
  <c r="W299" i="4"/>
  <c r="W300" i="4"/>
  <c r="W301" i="4"/>
  <c r="W302" i="4"/>
  <c r="W303" i="4"/>
  <c r="W304" i="4"/>
  <c r="W305" i="4"/>
  <c r="W306" i="4"/>
  <c r="W307" i="4"/>
  <c r="W308" i="4"/>
  <c r="W309" i="4"/>
  <c r="W310" i="4"/>
  <c r="W311" i="4"/>
  <c r="W312" i="4"/>
  <c r="W313" i="4"/>
  <c r="W314" i="4"/>
  <c r="W315" i="4"/>
  <c r="W316" i="4"/>
  <c r="W317" i="4"/>
  <c r="W318" i="4"/>
  <c r="W319" i="4"/>
  <c r="W320" i="4"/>
  <c r="W321" i="4"/>
  <c r="W322" i="4"/>
  <c r="W323" i="4"/>
  <c r="W324" i="4"/>
  <c r="W325" i="4"/>
  <c r="W326" i="4"/>
  <c r="W327" i="4"/>
  <c r="W328" i="4"/>
  <c r="W329" i="4"/>
  <c r="W330" i="4"/>
  <c r="W331" i="4"/>
  <c r="W332" i="4"/>
  <c r="W333" i="4"/>
  <c r="W334" i="4"/>
  <c r="W335" i="4"/>
  <c r="W336" i="4"/>
  <c r="W337" i="4"/>
  <c r="W338" i="4"/>
  <c r="W339" i="4"/>
  <c r="W340" i="4"/>
  <c r="W341" i="4"/>
  <c r="W342" i="4"/>
  <c r="W343" i="4"/>
  <c r="W344" i="4"/>
  <c r="W345" i="4"/>
  <c r="W346" i="4"/>
  <c r="W347" i="4"/>
  <c r="W348" i="4"/>
  <c r="W349" i="4"/>
  <c r="W350" i="4"/>
  <c r="W351" i="4"/>
  <c r="W352" i="4"/>
  <c r="W353" i="4"/>
  <c r="W354" i="4"/>
  <c r="W355" i="4"/>
  <c r="W356" i="4"/>
  <c r="W357" i="4"/>
  <c r="W358" i="4"/>
  <c r="W359" i="4"/>
  <c r="W360" i="4"/>
  <c r="W361" i="4"/>
  <c r="W362" i="4"/>
  <c r="W363" i="4"/>
  <c r="W364" i="4"/>
  <c r="W365" i="4"/>
  <c r="W366" i="4"/>
  <c r="W367" i="4"/>
  <c r="W368" i="4"/>
  <c r="W369" i="4"/>
  <c r="W370" i="4"/>
  <c r="W371" i="4"/>
  <c r="W372" i="4"/>
  <c r="W373" i="4"/>
  <c r="W374" i="4"/>
  <c r="W375" i="4"/>
  <c r="W376" i="4"/>
  <c r="W377" i="4"/>
  <c r="W378" i="4"/>
  <c r="W379" i="4"/>
  <c r="W380" i="4"/>
  <c r="W381" i="4"/>
  <c r="W382" i="4"/>
  <c r="W383" i="4"/>
  <c r="W384" i="4"/>
  <c r="W385" i="4"/>
  <c r="W386" i="4"/>
  <c r="W387" i="4"/>
  <c r="W388" i="4"/>
  <c r="W389" i="4"/>
  <c r="W390" i="4"/>
  <c r="W391" i="4"/>
  <c r="W392" i="4"/>
  <c r="W393" i="4"/>
  <c r="W394" i="4"/>
  <c r="W395" i="4"/>
  <c r="W396" i="4"/>
  <c r="W397" i="4"/>
  <c r="W398" i="4"/>
  <c r="W399" i="4"/>
  <c r="W400" i="4"/>
  <c r="W401" i="4"/>
  <c r="W402" i="4"/>
  <c r="W403" i="4"/>
  <c r="W404" i="4"/>
  <c r="W405" i="4"/>
  <c r="W406" i="4"/>
  <c r="W407" i="4"/>
  <c r="W408" i="4"/>
  <c r="W409" i="4"/>
  <c r="W410" i="4"/>
  <c r="W411" i="4"/>
  <c r="W412" i="4"/>
  <c r="W413" i="4"/>
  <c r="W414" i="4"/>
  <c r="W415" i="4"/>
  <c r="W416" i="4"/>
  <c r="W417" i="4"/>
  <c r="W418" i="4"/>
  <c r="W419" i="4"/>
  <c r="W420" i="4"/>
  <c r="W421" i="4"/>
  <c r="W422" i="4"/>
  <c r="W423" i="4"/>
  <c r="W424" i="4"/>
  <c r="W425" i="4"/>
  <c r="W426" i="4"/>
  <c r="W427" i="4"/>
  <c r="W428" i="4"/>
  <c r="W429" i="4"/>
  <c r="W430" i="4"/>
  <c r="W431" i="4"/>
  <c r="W432" i="4"/>
  <c r="W433" i="4"/>
  <c r="W434" i="4"/>
  <c r="W435" i="4"/>
  <c r="W436" i="4"/>
  <c r="W437" i="4"/>
  <c r="W438" i="4"/>
  <c r="W439" i="4"/>
  <c r="W440" i="4"/>
  <c r="W441" i="4"/>
  <c r="W442" i="4"/>
  <c r="W443" i="4"/>
  <c r="W444" i="4"/>
  <c r="W445" i="4"/>
  <c r="W446" i="4"/>
  <c r="W447" i="4"/>
  <c r="W448" i="4"/>
  <c r="W449" i="4"/>
  <c r="W450" i="4"/>
  <c r="W451" i="4"/>
  <c r="W452" i="4"/>
  <c r="W453" i="4"/>
  <c r="W454" i="4"/>
  <c r="W455" i="4"/>
  <c r="W456" i="4"/>
  <c r="W457" i="4"/>
  <c r="W458" i="4"/>
  <c r="W459" i="4"/>
  <c r="W460" i="4"/>
  <c r="W461" i="4"/>
  <c r="W462" i="4"/>
  <c r="W463" i="4"/>
  <c r="W464" i="4"/>
  <c r="W465" i="4"/>
  <c r="W466" i="4"/>
  <c r="W467" i="4"/>
  <c r="W468" i="4"/>
  <c r="W469" i="4"/>
  <c r="W470" i="4"/>
  <c r="W471" i="4"/>
  <c r="W472" i="4"/>
  <c r="W473" i="4"/>
  <c r="W474" i="4"/>
  <c r="W475" i="4"/>
  <c r="W476" i="4"/>
  <c r="W477" i="4"/>
  <c r="W478" i="4"/>
  <c r="W479" i="4"/>
  <c r="W480" i="4"/>
  <c r="W481" i="4"/>
  <c r="W482" i="4"/>
  <c r="W483" i="4"/>
  <c r="W484" i="4"/>
  <c r="W485" i="4"/>
  <c r="W486" i="4"/>
  <c r="W487" i="4"/>
  <c r="W488" i="4"/>
  <c r="W489" i="4"/>
  <c r="W490" i="4"/>
  <c r="W491" i="4"/>
  <c r="W492" i="4"/>
  <c r="W493" i="4"/>
  <c r="W494" i="4"/>
  <c r="W495" i="4"/>
  <c r="W496" i="4"/>
  <c r="W497" i="4"/>
  <c r="W498" i="4"/>
  <c r="W499" i="4"/>
  <c r="W500" i="4"/>
  <c r="W501" i="4"/>
  <c r="W502" i="4"/>
  <c r="W503" i="4"/>
  <c r="W504" i="4"/>
  <c r="W505" i="4"/>
  <c r="W506" i="4"/>
  <c r="W507" i="4"/>
  <c r="W508" i="4"/>
  <c r="V2" i="4"/>
  <c r="V3" i="4"/>
  <c r="V4" i="4"/>
  <c r="V5" i="4"/>
  <c r="V6" i="4"/>
  <c r="V7" i="4"/>
  <c r="V8" i="4"/>
  <c r="V9" i="4"/>
  <c r="V10" i="4"/>
  <c r="V11" i="4"/>
  <c r="V12" i="4"/>
  <c r="V13" i="4"/>
  <c r="V14" i="4"/>
  <c r="V15" i="4"/>
  <c r="V16" i="4"/>
  <c r="V17" i="4"/>
  <c r="V18" i="4"/>
  <c r="V19" i="4"/>
  <c r="V20" i="4"/>
  <c r="V21" i="4"/>
  <c r="V22" i="4"/>
  <c r="V23" i="4"/>
  <c r="V24" i="4"/>
  <c r="V25" i="4"/>
  <c r="V26" i="4"/>
  <c r="V27" i="4"/>
  <c r="V28" i="4"/>
  <c r="V29" i="4"/>
  <c r="V30" i="4"/>
  <c r="V31" i="4"/>
  <c r="V32" i="4"/>
  <c r="V33" i="4"/>
  <c r="V34" i="4"/>
  <c r="V35" i="4"/>
  <c r="V36" i="4"/>
  <c r="V37" i="4"/>
  <c r="V38" i="4"/>
  <c r="V39" i="4"/>
  <c r="V40" i="4"/>
  <c r="V41" i="4"/>
  <c r="V42" i="4"/>
  <c r="V43" i="4"/>
  <c r="V44" i="4"/>
  <c r="V45" i="4"/>
  <c r="V46" i="4"/>
  <c r="V47" i="4"/>
  <c r="V48" i="4"/>
  <c r="V49" i="4"/>
  <c r="V50" i="4"/>
  <c r="V51" i="4"/>
  <c r="V52" i="4"/>
  <c r="V53" i="4"/>
  <c r="V54" i="4"/>
  <c r="V55" i="4"/>
  <c r="V56" i="4"/>
  <c r="V57" i="4"/>
  <c r="V58" i="4"/>
  <c r="V59" i="4"/>
  <c r="V60" i="4"/>
  <c r="V61" i="4"/>
  <c r="V62" i="4"/>
  <c r="V63" i="4"/>
  <c r="V64" i="4"/>
  <c r="V65" i="4"/>
  <c r="V66" i="4"/>
  <c r="V67" i="4"/>
  <c r="V68" i="4"/>
  <c r="V69" i="4"/>
  <c r="V70" i="4"/>
  <c r="V71" i="4"/>
  <c r="V72" i="4"/>
  <c r="V73" i="4"/>
  <c r="V74" i="4"/>
  <c r="V75" i="4"/>
  <c r="V76" i="4"/>
  <c r="V77" i="4"/>
  <c r="V78" i="4"/>
  <c r="V79" i="4"/>
  <c r="V80" i="4"/>
  <c r="V81" i="4"/>
  <c r="V82" i="4"/>
  <c r="V83" i="4"/>
  <c r="V84" i="4"/>
  <c r="V85" i="4"/>
  <c r="V86" i="4"/>
  <c r="V87" i="4"/>
  <c r="V88" i="4"/>
  <c r="V89" i="4"/>
  <c r="V90" i="4"/>
  <c r="V91" i="4"/>
  <c r="V92" i="4"/>
  <c r="V93" i="4"/>
  <c r="V94" i="4"/>
  <c r="V95" i="4"/>
  <c r="V96" i="4"/>
  <c r="V97" i="4"/>
  <c r="V98" i="4"/>
  <c r="V99" i="4"/>
  <c r="V100" i="4"/>
  <c r="V101" i="4"/>
  <c r="V102" i="4"/>
  <c r="V103" i="4"/>
  <c r="V104" i="4"/>
  <c r="V105" i="4"/>
  <c r="V106" i="4"/>
  <c r="V107" i="4"/>
  <c r="V108" i="4"/>
  <c r="V109" i="4"/>
  <c r="V110" i="4"/>
  <c r="V111" i="4"/>
  <c r="V112" i="4"/>
  <c r="V113" i="4"/>
  <c r="V114" i="4"/>
  <c r="V115" i="4"/>
  <c r="V116" i="4"/>
  <c r="V117" i="4"/>
  <c r="V118" i="4"/>
  <c r="V119" i="4"/>
  <c r="V120" i="4"/>
  <c r="V121" i="4"/>
  <c r="V122" i="4"/>
  <c r="V123" i="4"/>
  <c r="V124" i="4"/>
  <c r="V125" i="4"/>
  <c r="V126" i="4"/>
  <c r="V127" i="4"/>
  <c r="V128" i="4"/>
  <c r="V129" i="4"/>
  <c r="V130" i="4"/>
  <c r="V131" i="4"/>
  <c r="V132" i="4"/>
  <c r="V133" i="4"/>
  <c r="V134" i="4"/>
  <c r="V135" i="4"/>
  <c r="V136" i="4"/>
  <c r="V137" i="4"/>
  <c r="V138" i="4"/>
  <c r="V139" i="4"/>
  <c r="V140" i="4"/>
  <c r="V141" i="4"/>
  <c r="V142" i="4"/>
  <c r="V143" i="4"/>
  <c r="V144" i="4"/>
  <c r="V145" i="4"/>
  <c r="V146" i="4"/>
  <c r="V147" i="4"/>
  <c r="V148" i="4"/>
  <c r="V149" i="4"/>
  <c r="V150" i="4"/>
  <c r="V151" i="4"/>
  <c r="V152" i="4"/>
  <c r="V153" i="4"/>
  <c r="V154" i="4"/>
  <c r="V155" i="4"/>
  <c r="V156" i="4"/>
  <c r="V157" i="4"/>
  <c r="V158" i="4"/>
  <c r="V159" i="4"/>
  <c r="V160" i="4"/>
  <c r="V161" i="4"/>
  <c r="V162" i="4"/>
  <c r="V163" i="4"/>
  <c r="V164" i="4"/>
  <c r="V165" i="4"/>
  <c r="V166" i="4"/>
  <c r="V167" i="4"/>
  <c r="V168" i="4"/>
  <c r="V169" i="4"/>
  <c r="V170" i="4"/>
  <c r="V171" i="4"/>
  <c r="V172" i="4"/>
  <c r="V173" i="4"/>
  <c r="V174" i="4"/>
  <c r="V175" i="4"/>
  <c r="V176" i="4"/>
  <c r="V177" i="4"/>
  <c r="V178" i="4"/>
  <c r="V179" i="4"/>
  <c r="V180" i="4"/>
  <c r="V181" i="4"/>
  <c r="V182" i="4"/>
  <c r="V183" i="4"/>
  <c r="V184" i="4"/>
  <c r="V185" i="4"/>
  <c r="V186" i="4"/>
  <c r="V187" i="4"/>
  <c r="V188" i="4"/>
  <c r="V189" i="4"/>
  <c r="V190" i="4"/>
  <c r="V191" i="4"/>
  <c r="V192" i="4"/>
  <c r="V193" i="4"/>
  <c r="V194" i="4"/>
  <c r="V195" i="4"/>
  <c r="V196" i="4"/>
  <c r="V197" i="4"/>
  <c r="V198" i="4"/>
  <c r="V199" i="4"/>
  <c r="V200" i="4"/>
  <c r="V201" i="4"/>
  <c r="V202" i="4"/>
  <c r="V203" i="4"/>
  <c r="V204" i="4"/>
  <c r="V205" i="4"/>
  <c r="V206" i="4"/>
  <c r="V207" i="4"/>
  <c r="V208" i="4"/>
  <c r="V209" i="4"/>
  <c r="V210" i="4"/>
  <c r="V211" i="4"/>
  <c r="V212" i="4"/>
  <c r="V213" i="4"/>
  <c r="V214" i="4"/>
  <c r="V215" i="4"/>
  <c r="V216" i="4"/>
  <c r="V217" i="4"/>
  <c r="V218" i="4"/>
  <c r="V219" i="4"/>
  <c r="V220" i="4"/>
  <c r="V221" i="4"/>
  <c r="V222" i="4"/>
  <c r="V223" i="4"/>
  <c r="V224" i="4"/>
  <c r="V225" i="4"/>
  <c r="V226" i="4"/>
  <c r="V227" i="4"/>
  <c r="V228" i="4"/>
  <c r="V229" i="4"/>
  <c r="V230" i="4"/>
  <c r="V231" i="4"/>
  <c r="V232" i="4"/>
  <c r="V233" i="4"/>
  <c r="V234" i="4"/>
  <c r="V235" i="4"/>
  <c r="V236" i="4"/>
  <c r="V237" i="4"/>
  <c r="V238" i="4"/>
  <c r="V239" i="4"/>
  <c r="V240" i="4"/>
  <c r="V241" i="4"/>
  <c r="V242" i="4"/>
  <c r="V243" i="4"/>
  <c r="V244" i="4"/>
  <c r="V245" i="4"/>
  <c r="V246" i="4"/>
  <c r="V247" i="4"/>
  <c r="V248" i="4"/>
  <c r="V249" i="4"/>
  <c r="V250" i="4"/>
  <c r="V251" i="4"/>
  <c r="V252" i="4"/>
  <c r="V253" i="4"/>
  <c r="V254" i="4"/>
  <c r="V255" i="4"/>
  <c r="V256" i="4"/>
  <c r="V257" i="4"/>
  <c r="V258" i="4"/>
  <c r="V259" i="4"/>
  <c r="V260" i="4"/>
  <c r="V261" i="4"/>
  <c r="V262" i="4"/>
  <c r="V263" i="4"/>
  <c r="V264" i="4"/>
  <c r="V265" i="4"/>
  <c r="V266" i="4"/>
  <c r="V267" i="4"/>
  <c r="V268" i="4"/>
  <c r="V269" i="4"/>
  <c r="V270" i="4"/>
  <c r="V271" i="4"/>
  <c r="V272" i="4"/>
  <c r="V273" i="4"/>
  <c r="V274" i="4"/>
  <c r="V275" i="4"/>
  <c r="V276" i="4"/>
  <c r="V277" i="4"/>
  <c r="V278" i="4"/>
  <c r="V279" i="4"/>
  <c r="V280" i="4"/>
  <c r="V281" i="4"/>
  <c r="V282" i="4"/>
  <c r="V283" i="4"/>
  <c r="V284" i="4"/>
  <c r="V285" i="4"/>
  <c r="V286" i="4"/>
  <c r="V287" i="4"/>
  <c r="V288" i="4"/>
  <c r="V289" i="4"/>
  <c r="V290" i="4"/>
  <c r="V291" i="4"/>
  <c r="V292" i="4"/>
  <c r="V293" i="4"/>
  <c r="V294" i="4"/>
  <c r="V295" i="4"/>
  <c r="V296" i="4"/>
  <c r="V297" i="4"/>
  <c r="V298" i="4"/>
  <c r="V299" i="4"/>
  <c r="V300" i="4"/>
  <c r="V301" i="4"/>
  <c r="V302" i="4"/>
  <c r="V303" i="4"/>
  <c r="V304" i="4"/>
  <c r="V305" i="4"/>
  <c r="V306" i="4"/>
  <c r="V307" i="4"/>
  <c r="V308" i="4"/>
  <c r="V309" i="4"/>
  <c r="V310" i="4"/>
  <c r="V311" i="4"/>
  <c r="V312" i="4"/>
  <c r="V313" i="4"/>
  <c r="V314" i="4"/>
  <c r="V315" i="4"/>
  <c r="V316" i="4"/>
  <c r="V317" i="4"/>
  <c r="V318" i="4"/>
  <c r="V319" i="4"/>
  <c r="V320" i="4"/>
  <c r="V321" i="4"/>
  <c r="V322" i="4"/>
  <c r="V323" i="4"/>
  <c r="V324" i="4"/>
  <c r="V325" i="4"/>
  <c r="V326" i="4"/>
  <c r="V327" i="4"/>
  <c r="V328" i="4"/>
  <c r="V329" i="4"/>
  <c r="V330" i="4"/>
  <c r="V331" i="4"/>
  <c r="V332" i="4"/>
  <c r="V333" i="4"/>
  <c r="V334" i="4"/>
  <c r="V335" i="4"/>
  <c r="V336" i="4"/>
  <c r="V337" i="4"/>
  <c r="V338" i="4"/>
  <c r="V339" i="4"/>
  <c r="V340" i="4"/>
  <c r="V341" i="4"/>
  <c r="V342" i="4"/>
  <c r="V343" i="4"/>
  <c r="V344" i="4"/>
  <c r="V345" i="4"/>
  <c r="V346" i="4"/>
  <c r="V347" i="4"/>
  <c r="V348" i="4"/>
  <c r="V349" i="4"/>
  <c r="V350" i="4"/>
  <c r="V351" i="4"/>
  <c r="V352" i="4"/>
  <c r="V353" i="4"/>
  <c r="V354" i="4"/>
  <c r="V355" i="4"/>
  <c r="V356" i="4"/>
  <c r="V357" i="4"/>
  <c r="V358" i="4"/>
  <c r="V359" i="4"/>
  <c r="V360" i="4"/>
  <c r="V361" i="4"/>
  <c r="V362" i="4"/>
  <c r="V363" i="4"/>
  <c r="V364" i="4"/>
  <c r="V365" i="4"/>
  <c r="V366" i="4"/>
  <c r="V367" i="4"/>
  <c r="V368" i="4"/>
  <c r="V369" i="4"/>
  <c r="V370" i="4"/>
  <c r="V371" i="4"/>
  <c r="V372" i="4"/>
  <c r="V373" i="4"/>
  <c r="V374" i="4"/>
  <c r="V375" i="4"/>
  <c r="V376" i="4"/>
  <c r="V377" i="4"/>
  <c r="V378" i="4"/>
  <c r="V379" i="4"/>
  <c r="V380" i="4"/>
  <c r="V381" i="4"/>
  <c r="V382" i="4"/>
  <c r="V383" i="4"/>
  <c r="V384" i="4"/>
  <c r="V385" i="4"/>
  <c r="V386" i="4"/>
  <c r="V387" i="4"/>
  <c r="V388" i="4"/>
  <c r="V389" i="4"/>
  <c r="V390" i="4"/>
  <c r="V391" i="4"/>
  <c r="V392" i="4"/>
  <c r="V393" i="4"/>
  <c r="V394" i="4"/>
  <c r="V395" i="4"/>
  <c r="V396" i="4"/>
  <c r="V397" i="4"/>
  <c r="V398" i="4"/>
  <c r="V399" i="4"/>
  <c r="V400" i="4"/>
  <c r="V401" i="4"/>
  <c r="V402" i="4"/>
  <c r="V403" i="4"/>
  <c r="V404" i="4"/>
  <c r="V405" i="4"/>
  <c r="V406" i="4"/>
  <c r="V407" i="4"/>
  <c r="V408" i="4"/>
  <c r="V409" i="4"/>
  <c r="V410" i="4"/>
  <c r="V411" i="4"/>
  <c r="V412" i="4"/>
  <c r="V413" i="4"/>
  <c r="V414" i="4"/>
  <c r="V415" i="4"/>
  <c r="V416" i="4"/>
  <c r="V417" i="4"/>
  <c r="V418" i="4"/>
  <c r="V419" i="4"/>
  <c r="V420" i="4"/>
  <c r="V421" i="4"/>
  <c r="V422" i="4"/>
  <c r="V423" i="4"/>
  <c r="V424" i="4"/>
  <c r="V425" i="4"/>
  <c r="V426" i="4"/>
  <c r="V427" i="4"/>
  <c r="V428" i="4"/>
  <c r="V429" i="4"/>
  <c r="V430" i="4"/>
  <c r="V431" i="4"/>
  <c r="V432" i="4"/>
  <c r="V433" i="4"/>
  <c r="V434" i="4"/>
  <c r="V435" i="4"/>
  <c r="V436" i="4"/>
  <c r="V437" i="4"/>
  <c r="V438" i="4"/>
  <c r="V439" i="4"/>
  <c r="V440" i="4"/>
  <c r="V441" i="4"/>
  <c r="V442" i="4"/>
  <c r="V443" i="4"/>
  <c r="V444" i="4"/>
  <c r="V445" i="4"/>
  <c r="V446" i="4"/>
  <c r="V447" i="4"/>
  <c r="V448" i="4"/>
  <c r="V449" i="4"/>
  <c r="V450" i="4"/>
  <c r="V451" i="4"/>
  <c r="V452" i="4"/>
  <c r="V453" i="4"/>
  <c r="V454" i="4"/>
  <c r="V455" i="4"/>
  <c r="V456" i="4"/>
  <c r="V457" i="4"/>
  <c r="V458" i="4"/>
  <c r="V459" i="4"/>
  <c r="V460" i="4"/>
  <c r="V461" i="4"/>
  <c r="V462" i="4"/>
  <c r="V463" i="4"/>
  <c r="V464" i="4"/>
  <c r="V465" i="4"/>
  <c r="V466" i="4"/>
  <c r="V467" i="4"/>
  <c r="V468" i="4"/>
  <c r="V469" i="4"/>
  <c r="V470" i="4"/>
  <c r="V471" i="4"/>
  <c r="V472" i="4"/>
  <c r="V473" i="4"/>
  <c r="V474" i="4"/>
  <c r="V475" i="4"/>
  <c r="V476" i="4"/>
  <c r="V477" i="4"/>
  <c r="V478" i="4"/>
  <c r="V479" i="4"/>
  <c r="V480" i="4"/>
  <c r="V481" i="4"/>
  <c r="V482" i="4"/>
  <c r="V483" i="4"/>
  <c r="V484" i="4"/>
  <c r="V485" i="4"/>
  <c r="V486" i="4"/>
  <c r="V487" i="4"/>
  <c r="V488" i="4"/>
  <c r="V489" i="4"/>
  <c r="V490" i="4"/>
  <c r="V491" i="4"/>
  <c r="V492" i="4"/>
  <c r="V493" i="4"/>
  <c r="V494" i="4"/>
  <c r="V495" i="4"/>
  <c r="V496" i="4"/>
  <c r="V497" i="4"/>
  <c r="V498" i="4"/>
  <c r="V499" i="4"/>
  <c r="V500" i="4"/>
  <c r="V501" i="4"/>
  <c r="V502" i="4"/>
  <c r="V503" i="4"/>
  <c r="V504" i="4"/>
  <c r="V505" i="4"/>
  <c r="V506" i="4"/>
  <c r="V507" i="4"/>
  <c r="V508" i="4"/>
  <c r="U2" i="4"/>
  <c r="U3" i="4"/>
  <c r="U4" i="4"/>
  <c r="U5" i="4"/>
  <c r="U6" i="4"/>
  <c r="U7" i="4"/>
  <c r="U8" i="4"/>
  <c r="U9" i="4"/>
  <c r="U10" i="4"/>
  <c r="U11" i="4"/>
  <c r="U12" i="4"/>
  <c r="U13" i="4"/>
  <c r="U14" i="4"/>
  <c r="U15" i="4"/>
  <c r="U16" i="4"/>
  <c r="U17" i="4"/>
  <c r="U18" i="4"/>
  <c r="U19" i="4"/>
  <c r="U20" i="4"/>
  <c r="U21" i="4"/>
  <c r="U22" i="4"/>
  <c r="U23" i="4"/>
  <c r="U24" i="4"/>
  <c r="U25" i="4"/>
  <c r="U26" i="4"/>
  <c r="U27" i="4"/>
  <c r="U28" i="4"/>
  <c r="U29" i="4"/>
  <c r="U30" i="4"/>
  <c r="U31" i="4"/>
  <c r="U32" i="4"/>
  <c r="U33" i="4"/>
  <c r="U34" i="4"/>
  <c r="U35" i="4"/>
  <c r="U36" i="4"/>
  <c r="U37" i="4"/>
  <c r="U38" i="4"/>
  <c r="U39" i="4"/>
  <c r="U40" i="4"/>
  <c r="U41" i="4"/>
  <c r="U42" i="4"/>
  <c r="U43" i="4"/>
  <c r="U44" i="4"/>
  <c r="U45" i="4"/>
  <c r="U46" i="4"/>
  <c r="U47" i="4"/>
  <c r="U48" i="4"/>
  <c r="U49" i="4"/>
  <c r="U50" i="4"/>
  <c r="U51" i="4"/>
  <c r="U52" i="4"/>
  <c r="U53" i="4"/>
  <c r="U54" i="4"/>
  <c r="U55" i="4"/>
  <c r="U56" i="4"/>
  <c r="U57" i="4"/>
  <c r="U58" i="4"/>
  <c r="U59" i="4"/>
  <c r="U60" i="4"/>
  <c r="U61" i="4"/>
  <c r="U62" i="4"/>
  <c r="U63" i="4"/>
  <c r="U64" i="4"/>
  <c r="U65" i="4"/>
  <c r="U66" i="4"/>
  <c r="U67" i="4"/>
  <c r="U68" i="4"/>
  <c r="U69" i="4"/>
  <c r="U70" i="4"/>
  <c r="U71" i="4"/>
  <c r="U72" i="4"/>
  <c r="U73" i="4"/>
  <c r="U74" i="4"/>
  <c r="U75" i="4"/>
  <c r="U76" i="4"/>
  <c r="U77" i="4"/>
  <c r="U78" i="4"/>
  <c r="U79" i="4"/>
  <c r="U80" i="4"/>
  <c r="U81" i="4"/>
  <c r="U82" i="4"/>
  <c r="U83" i="4"/>
  <c r="U84" i="4"/>
  <c r="U85" i="4"/>
  <c r="U86" i="4"/>
  <c r="U87" i="4"/>
  <c r="U88" i="4"/>
  <c r="U89" i="4"/>
  <c r="U90" i="4"/>
  <c r="U91" i="4"/>
  <c r="U92" i="4"/>
  <c r="U93" i="4"/>
  <c r="U94" i="4"/>
  <c r="U95" i="4"/>
  <c r="U96" i="4"/>
  <c r="U97" i="4"/>
  <c r="U98" i="4"/>
  <c r="U99" i="4"/>
  <c r="U100" i="4"/>
  <c r="U101" i="4"/>
  <c r="U102" i="4"/>
  <c r="U103" i="4"/>
  <c r="U104" i="4"/>
  <c r="U105" i="4"/>
  <c r="U106" i="4"/>
  <c r="U107" i="4"/>
  <c r="U108" i="4"/>
  <c r="U109" i="4"/>
  <c r="U110" i="4"/>
  <c r="U111" i="4"/>
  <c r="U112" i="4"/>
  <c r="U113" i="4"/>
  <c r="U114" i="4"/>
  <c r="U115" i="4"/>
  <c r="U116" i="4"/>
  <c r="U117" i="4"/>
  <c r="U118" i="4"/>
  <c r="U119" i="4"/>
  <c r="U120" i="4"/>
  <c r="U121" i="4"/>
  <c r="U122" i="4"/>
  <c r="U123" i="4"/>
  <c r="U124" i="4"/>
  <c r="U125" i="4"/>
  <c r="U126" i="4"/>
  <c r="U127" i="4"/>
  <c r="U128" i="4"/>
  <c r="U129" i="4"/>
  <c r="U130" i="4"/>
  <c r="U131" i="4"/>
  <c r="U132" i="4"/>
  <c r="U133" i="4"/>
  <c r="U134" i="4"/>
  <c r="U135" i="4"/>
  <c r="U136" i="4"/>
  <c r="U137" i="4"/>
  <c r="U138" i="4"/>
  <c r="U139" i="4"/>
  <c r="U140" i="4"/>
  <c r="U141" i="4"/>
  <c r="U142" i="4"/>
  <c r="U143" i="4"/>
  <c r="U144" i="4"/>
  <c r="U145" i="4"/>
  <c r="U146" i="4"/>
  <c r="U147" i="4"/>
  <c r="U148" i="4"/>
  <c r="U149" i="4"/>
  <c r="U150" i="4"/>
  <c r="U151" i="4"/>
  <c r="U152" i="4"/>
  <c r="U153" i="4"/>
  <c r="U154" i="4"/>
  <c r="U155" i="4"/>
  <c r="U156" i="4"/>
  <c r="U157" i="4"/>
  <c r="U158" i="4"/>
  <c r="U159" i="4"/>
  <c r="U160" i="4"/>
  <c r="U161" i="4"/>
  <c r="U162" i="4"/>
  <c r="U163" i="4"/>
  <c r="U164" i="4"/>
  <c r="U165" i="4"/>
  <c r="U166" i="4"/>
  <c r="U167" i="4"/>
  <c r="U168" i="4"/>
  <c r="U169" i="4"/>
  <c r="U170" i="4"/>
  <c r="U171" i="4"/>
  <c r="U172" i="4"/>
  <c r="U173" i="4"/>
  <c r="U174" i="4"/>
  <c r="U175" i="4"/>
  <c r="U176" i="4"/>
  <c r="U177" i="4"/>
  <c r="U178" i="4"/>
  <c r="U179" i="4"/>
  <c r="U180" i="4"/>
  <c r="U181" i="4"/>
  <c r="U182" i="4"/>
  <c r="U183" i="4"/>
  <c r="U184" i="4"/>
  <c r="U185" i="4"/>
  <c r="U186" i="4"/>
  <c r="U187" i="4"/>
  <c r="U188" i="4"/>
  <c r="U189" i="4"/>
  <c r="U190" i="4"/>
  <c r="U191" i="4"/>
  <c r="U192" i="4"/>
  <c r="U193" i="4"/>
  <c r="U194" i="4"/>
  <c r="U195" i="4"/>
  <c r="U196" i="4"/>
  <c r="U197" i="4"/>
  <c r="U198" i="4"/>
  <c r="U199" i="4"/>
  <c r="U200" i="4"/>
  <c r="U201" i="4"/>
  <c r="U202" i="4"/>
  <c r="U203" i="4"/>
  <c r="U204" i="4"/>
  <c r="U205" i="4"/>
  <c r="U206" i="4"/>
  <c r="U207" i="4"/>
  <c r="U208" i="4"/>
  <c r="U209" i="4"/>
  <c r="U210" i="4"/>
  <c r="U211" i="4"/>
  <c r="U212" i="4"/>
  <c r="U213" i="4"/>
  <c r="U214" i="4"/>
  <c r="U215" i="4"/>
  <c r="U216" i="4"/>
  <c r="U217" i="4"/>
  <c r="U218" i="4"/>
  <c r="U219" i="4"/>
  <c r="U220" i="4"/>
  <c r="U221" i="4"/>
  <c r="U222" i="4"/>
  <c r="U223" i="4"/>
  <c r="U224" i="4"/>
  <c r="U225" i="4"/>
  <c r="U226" i="4"/>
  <c r="U227" i="4"/>
  <c r="U228" i="4"/>
  <c r="U229" i="4"/>
  <c r="U230" i="4"/>
  <c r="U231" i="4"/>
  <c r="U232" i="4"/>
  <c r="U233" i="4"/>
  <c r="U234" i="4"/>
  <c r="U235" i="4"/>
  <c r="U236" i="4"/>
  <c r="U237" i="4"/>
  <c r="U238" i="4"/>
  <c r="U239" i="4"/>
  <c r="U240" i="4"/>
  <c r="U241" i="4"/>
  <c r="U242" i="4"/>
  <c r="U243" i="4"/>
  <c r="U244" i="4"/>
  <c r="U245" i="4"/>
  <c r="U246" i="4"/>
  <c r="U247" i="4"/>
  <c r="U248" i="4"/>
  <c r="U249" i="4"/>
  <c r="U250" i="4"/>
  <c r="U251" i="4"/>
  <c r="U252" i="4"/>
  <c r="U253" i="4"/>
  <c r="U254" i="4"/>
  <c r="U255" i="4"/>
  <c r="U256" i="4"/>
  <c r="U257" i="4"/>
  <c r="U258" i="4"/>
  <c r="U259" i="4"/>
  <c r="U260" i="4"/>
  <c r="U261" i="4"/>
  <c r="U262" i="4"/>
  <c r="U263" i="4"/>
  <c r="U264" i="4"/>
  <c r="U265" i="4"/>
  <c r="U266" i="4"/>
  <c r="U267" i="4"/>
  <c r="U268" i="4"/>
  <c r="U269" i="4"/>
  <c r="U270" i="4"/>
  <c r="U271" i="4"/>
  <c r="U272" i="4"/>
  <c r="U273" i="4"/>
  <c r="U274" i="4"/>
  <c r="U275" i="4"/>
  <c r="U276" i="4"/>
  <c r="U277" i="4"/>
  <c r="U278" i="4"/>
  <c r="U279" i="4"/>
  <c r="U280" i="4"/>
  <c r="U281" i="4"/>
  <c r="U282" i="4"/>
  <c r="U283" i="4"/>
  <c r="U284" i="4"/>
  <c r="U285" i="4"/>
  <c r="U286" i="4"/>
  <c r="U287" i="4"/>
  <c r="U288" i="4"/>
  <c r="U289" i="4"/>
  <c r="U290" i="4"/>
  <c r="U291" i="4"/>
  <c r="U292" i="4"/>
  <c r="U293" i="4"/>
  <c r="U294" i="4"/>
  <c r="U295" i="4"/>
  <c r="U296" i="4"/>
  <c r="U297" i="4"/>
  <c r="U298" i="4"/>
  <c r="U299" i="4"/>
  <c r="U300" i="4"/>
  <c r="U301" i="4"/>
  <c r="U302" i="4"/>
  <c r="U303" i="4"/>
  <c r="U304" i="4"/>
  <c r="U305" i="4"/>
  <c r="U306" i="4"/>
  <c r="U307" i="4"/>
  <c r="U308" i="4"/>
  <c r="U309" i="4"/>
  <c r="U310" i="4"/>
  <c r="U311" i="4"/>
  <c r="U312" i="4"/>
  <c r="U313" i="4"/>
  <c r="U314" i="4"/>
  <c r="U315" i="4"/>
  <c r="U316" i="4"/>
  <c r="U317" i="4"/>
  <c r="U318" i="4"/>
  <c r="U319" i="4"/>
  <c r="U320" i="4"/>
  <c r="U321" i="4"/>
  <c r="U322" i="4"/>
  <c r="U323" i="4"/>
  <c r="U324" i="4"/>
  <c r="U325" i="4"/>
  <c r="U326" i="4"/>
  <c r="U327" i="4"/>
  <c r="U328" i="4"/>
  <c r="U329" i="4"/>
  <c r="U330" i="4"/>
  <c r="U331" i="4"/>
  <c r="U332" i="4"/>
  <c r="U333" i="4"/>
  <c r="U334" i="4"/>
  <c r="U335" i="4"/>
  <c r="U336" i="4"/>
  <c r="U337" i="4"/>
  <c r="U338" i="4"/>
  <c r="U339" i="4"/>
  <c r="U340" i="4"/>
  <c r="U341" i="4"/>
  <c r="U342" i="4"/>
  <c r="U343" i="4"/>
  <c r="U344" i="4"/>
  <c r="U345" i="4"/>
  <c r="U346" i="4"/>
  <c r="U347" i="4"/>
  <c r="U348" i="4"/>
  <c r="U349" i="4"/>
  <c r="U350" i="4"/>
  <c r="U351" i="4"/>
  <c r="U352" i="4"/>
  <c r="U353" i="4"/>
  <c r="U354" i="4"/>
  <c r="U355" i="4"/>
  <c r="U356" i="4"/>
  <c r="U357" i="4"/>
  <c r="U358" i="4"/>
  <c r="U359" i="4"/>
  <c r="U360" i="4"/>
  <c r="U361" i="4"/>
  <c r="U362" i="4"/>
  <c r="U363" i="4"/>
  <c r="U364" i="4"/>
  <c r="U365" i="4"/>
  <c r="U366" i="4"/>
  <c r="U367" i="4"/>
  <c r="U368" i="4"/>
  <c r="U369" i="4"/>
  <c r="U370" i="4"/>
  <c r="U371" i="4"/>
  <c r="U372" i="4"/>
  <c r="U373" i="4"/>
  <c r="U374" i="4"/>
  <c r="U375" i="4"/>
  <c r="U376" i="4"/>
  <c r="U377" i="4"/>
  <c r="U378" i="4"/>
  <c r="U379" i="4"/>
  <c r="U380" i="4"/>
  <c r="U381" i="4"/>
  <c r="U382" i="4"/>
  <c r="U383" i="4"/>
  <c r="U384" i="4"/>
  <c r="U385" i="4"/>
  <c r="U386" i="4"/>
  <c r="U387" i="4"/>
  <c r="U388" i="4"/>
  <c r="U389" i="4"/>
  <c r="U390" i="4"/>
  <c r="U391" i="4"/>
  <c r="U392" i="4"/>
  <c r="U393" i="4"/>
  <c r="U394" i="4"/>
  <c r="U395" i="4"/>
  <c r="U396" i="4"/>
  <c r="U397" i="4"/>
  <c r="U398" i="4"/>
  <c r="U399" i="4"/>
  <c r="U400" i="4"/>
  <c r="U401" i="4"/>
  <c r="U402" i="4"/>
  <c r="U403" i="4"/>
  <c r="U404" i="4"/>
  <c r="U405" i="4"/>
  <c r="U406" i="4"/>
  <c r="U407" i="4"/>
  <c r="U408" i="4"/>
  <c r="U409" i="4"/>
  <c r="U410" i="4"/>
  <c r="U411" i="4"/>
  <c r="U412" i="4"/>
  <c r="U413" i="4"/>
  <c r="U414" i="4"/>
  <c r="U415" i="4"/>
  <c r="U416" i="4"/>
  <c r="U417" i="4"/>
  <c r="U418" i="4"/>
  <c r="U419" i="4"/>
  <c r="U420" i="4"/>
  <c r="U421" i="4"/>
  <c r="U422" i="4"/>
  <c r="U423" i="4"/>
  <c r="U424" i="4"/>
  <c r="U425" i="4"/>
  <c r="U426" i="4"/>
  <c r="U427" i="4"/>
  <c r="U428" i="4"/>
  <c r="U429" i="4"/>
  <c r="U430" i="4"/>
  <c r="U431" i="4"/>
  <c r="U432" i="4"/>
  <c r="U433" i="4"/>
  <c r="U434" i="4"/>
  <c r="U435" i="4"/>
  <c r="U436" i="4"/>
  <c r="U437" i="4"/>
  <c r="U438" i="4"/>
  <c r="U439" i="4"/>
  <c r="U440" i="4"/>
  <c r="U441" i="4"/>
  <c r="U442" i="4"/>
  <c r="U443" i="4"/>
  <c r="U444" i="4"/>
  <c r="U445" i="4"/>
  <c r="U446" i="4"/>
  <c r="U447" i="4"/>
  <c r="U448" i="4"/>
  <c r="U449" i="4"/>
  <c r="U450" i="4"/>
  <c r="U451" i="4"/>
  <c r="U452" i="4"/>
  <c r="U453" i="4"/>
  <c r="U454" i="4"/>
  <c r="U455" i="4"/>
  <c r="U456" i="4"/>
  <c r="U457" i="4"/>
  <c r="U458" i="4"/>
  <c r="U459" i="4"/>
  <c r="U460" i="4"/>
  <c r="U461" i="4"/>
  <c r="U462" i="4"/>
  <c r="U463" i="4"/>
  <c r="U464" i="4"/>
  <c r="U465" i="4"/>
  <c r="U466" i="4"/>
  <c r="U467" i="4"/>
  <c r="U468" i="4"/>
  <c r="U469" i="4"/>
  <c r="U470" i="4"/>
  <c r="U471" i="4"/>
  <c r="U472" i="4"/>
  <c r="U473" i="4"/>
  <c r="U474" i="4"/>
  <c r="U475" i="4"/>
  <c r="U476" i="4"/>
  <c r="U477" i="4"/>
  <c r="U478" i="4"/>
  <c r="U479" i="4"/>
  <c r="U480" i="4"/>
  <c r="U481" i="4"/>
  <c r="U482" i="4"/>
  <c r="U483" i="4"/>
  <c r="U484" i="4"/>
  <c r="U485" i="4"/>
  <c r="U486" i="4"/>
  <c r="U487" i="4"/>
  <c r="U488" i="4"/>
  <c r="U489" i="4"/>
  <c r="U490" i="4"/>
  <c r="U491" i="4"/>
  <c r="U492" i="4"/>
  <c r="U493" i="4"/>
  <c r="U494" i="4"/>
  <c r="U495" i="4"/>
  <c r="U496" i="4"/>
  <c r="U497" i="4"/>
  <c r="U498" i="4"/>
  <c r="U499" i="4"/>
  <c r="U500" i="4"/>
  <c r="U501" i="4"/>
  <c r="U502" i="4"/>
  <c r="U503" i="4"/>
  <c r="U504" i="4"/>
  <c r="U505" i="4"/>
  <c r="U506" i="4"/>
  <c r="U507" i="4"/>
  <c r="U508" i="4"/>
  <c r="Q2" i="4"/>
  <c r="Q3" i="4"/>
  <c r="Q4" i="4"/>
  <c r="Q5" i="4"/>
  <c r="Q6" i="4"/>
  <c r="Q7" i="4"/>
  <c r="Q8" i="4"/>
  <c r="Q9" i="4"/>
  <c r="Q10" i="4"/>
  <c r="Q11" i="4"/>
  <c r="Q12" i="4"/>
  <c r="Q13" i="4"/>
  <c r="Q14" i="4"/>
  <c r="Q15" i="4"/>
  <c r="Q16" i="4"/>
  <c r="Q17" i="4"/>
  <c r="Q18" i="4"/>
  <c r="Q19" i="4"/>
  <c r="Q20" i="4"/>
  <c r="Q21" i="4"/>
  <c r="Q22" i="4"/>
  <c r="Q23" i="4"/>
  <c r="Q24" i="4"/>
  <c r="Q25" i="4"/>
  <c r="Q26" i="4"/>
  <c r="Q27" i="4"/>
  <c r="Q28" i="4"/>
  <c r="Q29" i="4"/>
  <c r="Q30" i="4"/>
  <c r="Q31" i="4"/>
  <c r="Q32" i="4"/>
  <c r="Q33" i="4"/>
  <c r="Q34" i="4"/>
  <c r="Q35" i="4"/>
  <c r="Q36" i="4"/>
  <c r="Q37" i="4"/>
  <c r="Q38" i="4"/>
  <c r="Q39" i="4"/>
  <c r="Q40" i="4"/>
  <c r="Q41" i="4"/>
  <c r="Q42" i="4"/>
  <c r="Q43" i="4"/>
  <c r="Q44" i="4"/>
  <c r="Q45" i="4"/>
  <c r="Q46" i="4"/>
  <c r="Q47" i="4"/>
  <c r="Q48" i="4"/>
  <c r="Q49" i="4"/>
  <c r="Q50" i="4"/>
  <c r="Q51" i="4"/>
  <c r="Q52" i="4"/>
  <c r="Q53" i="4"/>
  <c r="Q54" i="4"/>
  <c r="Q55" i="4"/>
  <c r="Q56" i="4"/>
  <c r="Q57" i="4"/>
  <c r="Q58" i="4"/>
  <c r="Q59" i="4"/>
  <c r="Q60" i="4"/>
  <c r="Q61" i="4"/>
  <c r="Q62" i="4"/>
  <c r="Q63" i="4"/>
  <c r="Q64" i="4"/>
  <c r="Q65" i="4"/>
  <c r="Q66" i="4"/>
  <c r="Q67" i="4"/>
  <c r="Q68" i="4"/>
  <c r="Q69" i="4"/>
  <c r="Q70" i="4"/>
  <c r="Q71" i="4"/>
  <c r="Q72" i="4"/>
  <c r="Q73" i="4"/>
  <c r="Q74" i="4"/>
  <c r="Q75" i="4"/>
  <c r="Q76" i="4"/>
  <c r="Q77" i="4"/>
  <c r="Q78" i="4"/>
  <c r="Q79" i="4"/>
  <c r="Q80" i="4"/>
  <c r="Q81" i="4"/>
  <c r="Q82" i="4"/>
  <c r="Q83" i="4"/>
  <c r="Q84" i="4"/>
  <c r="Q85" i="4"/>
  <c r="Q86" i="4"/>
  <c r="Q87" i="4"/>
  <c r="Q88" i="4"/>
  <c r="Q89" i="4"/>
  <c r="Q90" i="4"/>
  <c r="Q91" i="4"/>
  <c r="Q92" i="4"/>
  <c r="Q93" i="4"/>
  <c r="Q94" i="4"/>
  <c r="Q95" i="4"/>
  <c r="Q96" i="4"/>
  <c r="Q97" i="4"/>
  <c r="Q98" i="4"/>
  <c r="Q99" i="4"/>
  <c r="Q100" i="4"/>
  <c r="Q101" i="4"/>
  <c r="Q102" i="4"/>
  <c r="Q103" i="4"/>
  <c r="Q104" i="4"/>
  <c r="Q105" i="4"/>
  <c r="Q106" i="4"/>
  <c r="Q107" i="4"/>
  <c r="Q108" i="4"/>
  <c r="Q109" i="4"/>
  <c r="Q110" i="4"/>
  <c r="Q111" i="4"/>
  <c r="Q112" i="4"/>
  <c r="Q113" i="4"/>
  <c r="Q114" i="4"/>
  <c r="Q115" i="4"/>
  <c r="Q116" i="4"/>
  <c r="Q117" i="4"/>
  <c r="Q118" i="4"/>
  <c r="Q119" i="4"/>
  <c r="Q120" i="4"/>
  <c r="Q121" i="4"/>
  <c r="Q122" i="4"/>
  <c r="Q123" i="4"/>
  <c r="Q124" i="4"/>
  <c r="Q125" i="4"/>
  <c r="Q126" i="4"/>
  <c r="Q127" i="4"/>
  <c r="Q128" i="4"/>
  <c r="Q129" i="4"/>
  <c r="Q130" i="4"/>
  <c r="Q131" i="4"/>
  <c r="Q132" i="4"/>
  <c r="Q133" i="4"/>
  <c r="Q134" i="4"/>
  <c r="Q135" i="4"/>
  <c r="Q136" i="4"/>
  <c r="Q137" i="4"/>
  <c r="Q138" i="4"/>
  <c r="Q139" i="4"/>
  <c r="Q140" i="4"/>
  <c r="Q141" i="4"/>
  <c r="Q142" i="4"/>
  <c r="Q143" i="4"/>
  <c r="Q144" i="4"/>
  <c r="Q145" i="4"/>
  <c r="Q146" i="4"/>
  <c r="Q147" i="4"/>
  <c r="Q148" i="4"/>
  <c r="Q149" i="4"/>
  <c r="Q150" i="4"/>
  <c r="Q151" i="4"/>
  <c r="Q152" i="4"/>
  <c r="Q153" i="4"/>
  <c r="Q154" i="4"/>
  <c r="Q155" i="4"/>
  <c r="Q156" i="4"/>
  <c r="Q157" i="4"/>
  <c r="Q158" i="4"/>
  <c r="Q159" i="4"/>
  <c r="Q160" i="4"/>
  <c r="Q161" i="4"/>
  <c r="Q162" i="4"/>
  <c r="Q163" i="4"/>
  <c r="Q164" i="4"/>
  <c r="Q165" i="4"/>
  <c r="Q166" i="4"/>
  <c r="Q167" i="4"/>
  <c r="Q168" i="4"/>
  <c r="Q169" i="4"/>
  <c r="Q170" i="4"/>
  <c r="Q171" i="4"/>
  <c r="Q172" i="4"/>
  <c r="Q173" i="4"/>
  <c r="Q174" i="4"/>
  <c r="Q175" i="4"/>
  <c r="Q176" i="4"/>
  <c r="Q177" i="4"/>
  <c r="Q178" i="4"/>
  <c r="Q179" i="4"/>
  <c r="Q180" i="4"/>
  <c r="Q181" i="4"/>
  <c r="Q182" i="4"/>
  <c r="Q183" i="4"/>
  <c r="Q184" i="4"/>
  <c r="Q185" i="4"/>
  <c r="Q186" i="4"/>
  <c r="Q187" i="4"/>
  <c r="Q188" i="4"/>
  <c r="Q189" i="4"/>
  <c r="Q190" i="4"/>
  <c r="Q191" i="4"/>
  <c r="Q192" i="4"/>
  <c r="Q193" i="4"/>
  <c r="Q194" i="4"/>
  <c r="Q195" i="4"/>
  <c r="Q196" i="4"/>
  <c r="Q197" i="4"/>
  <c r="Q198" i="4"/>
  <c r="Q199" i="4"/>
  <c r="Q200" i="4"/>
  <c r="Q201" i="4"/>
  <c r="Q202" i="4"/>
  <c r="Q203" i="4"/>
  <c r="Q204" i="4"/>
  <c r="Q205" i="4"/>
  <c r="Q206" i="4"/>
  <c r="Q207" i="4"/>
  <c r="Q208" i="4"/>
  <c r="Q209" i="4"/>
  <c r="Q210" i="4"/>
  <c r="Q211" i="4"/>
  <c r="Q212" i="4"/>
  <c r="Q213" i="4"/>
  <c r="Q214" i="4"/>
  <c r="Q215" i="4"/>
  <c r="Q216" i="4"/>
  <c r="Q217" i="4"/>
  <c r="Q218" i="4"/>
  <c r="Q219" i="4"/>
  <c r="Q220" i="4"/>
  <c r="Q221" i="4"/>
  <c r="Q222" i="4"/>
  <c r="Q223" i="4"/>
  <c r="Q224" i="4"/>
  <c r="Q225" i="4"/>
  <c r="Q226" i="4"/>
  <c r="Q227" i="4"/>
  <c r="Q228" i="4"/>
  <c r="Q229" i="4"/>
  <c r="Q230" i="4"/>
  <c r="Q231" i="4"/>
  <c r="Q232" i="4"/>
  <c r="Q233" i="4"/>
  <c r="Q234" i="4"/>
  <c r="Q235" i="4"/>
  <c r="Q236" i="4"/>
  <c r="Q237" i="4"/>
  <c r="Q238" i="4"/>
  <c r="Q239" i="4"/>
  <c r="Q240" i="4"/>
  <c r="Q241" i="4"/>
  <c r="Q242" i="4"/>
  <c r="Q243" i="4"/>
  <c r="Q244" i="4"/>
  <c r="Q245" i="4"/>
  <c r="Q246" i="4"/>
  <c r="Q247" i="4"/>
  <c r="Q248" i="4"/>
  <c r="Q249" i="4"/>
  <c r="Q250" i="4"/>
  <c r="Q251" i="4"/>
  <c r="Q252" i="4"/>
  <c r="Q253" i="4"/>
  <c r="Q254" i="4"/>
  <c r="Q255" i="4"/>
  <c r="Q256" i="4"/>
  <c r="Q257" i="4"/>
  <c r="Q258" i="4"/>
  <c r="Q259" i="4"/>
  <c r="Q260" i="4"/>
  <c r="Q261" i="4"/>
  <c r="Q262" i="4"/>
  <c r="Q263" i="4"/>
  <c r="Q264" i="4"/>
  <c r="Q265" i="4"/>
  <c r="Q266" i="4"/>
  <c r="Q267" i="4"/>
  <c r="Q268" i="4"/>
  <c r="Q269" i="4"/>
  <c r="Q270" i="4"/>
  <c r="Q271" i="4"/>
  <c r="Q272" i="4"/>
  <c r="Q273" i="4"/>
  <c r="Q274" i="4"/>
  <c r="Q275" i="4"/>
  <c r="Q276" i="4"/>
  <c r="Q277" i="4"/>
  <c r="Q278" i="4"/>
  <c r="Q279" i="4"/>
  <c r="Q280" i="4"/>
  <c r="Q281" i="4"/>
  <c r="Q282" i="4"/>
  <c r="Q283" i="4"/>
  <c r="Q284" i="4"/>
  <c r="Q285" i="4"/>
  <c r="Q286" i="4"/>
  <c r="Q287" i="4"/>
  <c r="Q288" i="4"/>
  <c r="Q289" i="4"/>
  <c r="Q290" i="4"/>
  <c r="Q291" i="4"/>
  <c r="Q292" i="4"/>
  <c r="Q293" i="4"/>
  <c r="Q294" i="4"/>
  <c r="Q295" i="4"/>
  <c r="Q296" i="4"/>
  <c r="Q297" i="4"/>
  <c r="Q298" i="4"/>
  <c r="Q299" i="4"/>
  <c r="Q300" i="4"/>
  <c r="Q301" i="4"/>
  <c r="Q302" i="4"/>
  <c r="Q303" i="4"/>
  <c r="Q304" i="4"/>
  <c r="Q305" i="4"/>
  <c r="Q306" i="4"/>
  <c r="Q307" i="4"/>
  <c r="Q308" i="4"/>
  <c r="Q309" i="4"/>
  <c r="Q310" i="4"/>
  <c r="Q311" i="4"/>
  <c r="Q312" i="4"/>
  <c r="Q313" i="4"/>
  <c r="Q314" i="4"/>
  <c r="Q315" i="4"/>
  <c r="Q316" i="4"/>
  <c r="Q317" i="4"/>
  <c r="Q318" i="4"/>
  <c r="Q319" i="4"/>
  <c r="Q320" i="4"/>
  <c r="Q321" i="4"/>
  <c r="Q322" i="4"/>
  <c r="Q323" i="4"/>
  <c r="Q324" i="4"/>
  <c r="Q325" i="4"/>
  <c r="Q326" i="4"/>
  <c r="Q327" i="4"/>
  <c r="Q328" i="4"/>
  <c r="Q329" i="4"/>
  <c r="Q330" i="4"/>
  <c r="Q331" i="4"/>
  <c r="Q332" i="4"/>
  <c r="Q333" i="4"/>
  <c r="Q334" i="4"/>
  <c r="Q335" i="4"/>
  <c r="Q336" i="4"/>
  <c r="Q337" i="4"/>
  <c r="Q338" i="4"/>
  <c r="Q339" i="4"/>
  <c r="Q340" i="4"/>
  <c r="Q341" i="4"/>
  <c r="Q342" i="4"/>
  <c r="Q343" i="4"/>
  <c r="Q344" i="4"/>
  <c r="Q345" i="4"/>
  <c r="Q346" i="4"/>
  <c r="Q347" i="4"/>
  <c r="Q348" i="4"/>
  <c r="Q349" i="4"/>
  <c r="Q350" i="4"/>
  <c r="Q351" i="4"/>
  <c r="Q352" i="4"/>
  <c r="Q353" i="4"/>
  <c r="Q354" i="4"/>
  <c r="Q355" i="4"/>
  <c r="Q356" i="4"/>
  <c r="Q357" i="4"/>
  <c r="Q358" i="4"/>
  <c r="Q359" i="4"/>
  <c r="Q360" i="4"/>
  <c r="Q361" i="4"/>
  <c r="Q362" i="4"/>
  <c r="Q363" i="4"/>
  <c r="Q364" i="4"/>
  <c r="Q365" i="4"/>
  <c r="Q366" i="4"/>
  <c r="Q367" i="4"/>
  <c r="Q368" i="4"/>
  <c r="Q369" i="4"/>
  <c r="Q370" i="4"/>
  <c r="Q371" i="4"/>
  <c r="Q372" i="4"/>
  <c r="Q373" i="4"/>
  <c r="Q374" i="4"/>
  <c r="Q375" i="4"/>
  <c r="Q376" i="4"/>
  <c r="Q377" i="4"/>
  <c r="Q378" i="4"/>
  <c r="Q379" i="4"/>
  <c r="Q380" i="4"/>
  <c r="Q381" i="4"/>
  <c r="Q382" i="4"/>
  <c r="Q383" i="4"/>
  <c r="Q384" i="4"/>
  <c r="Q385" i="4"/>
  <c r="Q386" i="4"/>
  <c r="Q387" i="4"/>
  <c r="Q388" i="4"/>
  <c r="Q389" i="4"/>
  <c r="Q390" i="4"/>
  <c r="Q391" i="4"/>
  <c r="Q392" i="4"/>
  <c r="Q393" i="4"/>
  <c r="Q394" i="4"/>
  <c r="Q395" i="4"/>
  <c r="Q396" i="4"/>
  <c r="Q397" i="4"/>
  <c r="Q398" i="4"/>
  <c r="Q399" i="4"/>
  <c r="Q400" i="4"/>
  <c r="Q401" i="4"/>
  <c r="Q402" i="4"/>
  <c r="Q403" i="4"/>
  <c r="Q404" i="4"/>
  <c r="Q405" i="4"/>
  <c r="Q406" i="4"/>
  <c r="Q407" i="4"/>
  <c r="Q408" i="4"/>
  <c r="Q409" i="4"/>
  <c r="Q410" i="4"/>
  <c r="Q411" i="4"/>
  <c r="Q412" i="4"/>
  <c r="Q413" i="4"/>
  <c r="Q414" i="4"/>
  <c r="Q415" i="4"/>
  <c r="Q416" i="4"/>
  <c r="Q417" i="4"/>
  <c r="Q418" i="4"/>
  <c r="Q419" i="4"/>
  <c r="Q420" i="4"/>
  <c r="Q421" i="4"/>
  <c r="Q422" i="4"/>
  <c r="Q423" i="4"/>
  <c r="Q424" i="4"/>
  <c r="Q425" i="4"/>
  <c r="Q426" i="4"/>
  <c r="Q427" i="4"/>
  <c r="Q428" i="4"/>
  <c r="Q429" i="4"/>
  <c r="Q430" i="4"/>
  <c r="Q431" i="4"/>
  <c r="Q432" i="4"/>
  <c r="Q433" i="4"/>
  <c r="Q434" i="4"/>
  <c r="Q435" i="4"/>
  <c r="Q436" i="4"/>
  <c r="Q437" i="4"/>
  <c r="Q438" i="4"/>
  <c r="Q439" i="4"/>
  <c r="Q440" i="4"/>
  <c r="Q441" i="4"/>
  <c r="Q442" i="4"/>
  <c r="Q443" i="4"/>
  <c r="Q444" i="4"/>
  <c r="Q445" i="4"/>
  <c r="Q446" i="4"/>
  <c r="Q447" i="4"/>
  <c r="Q448" i="4"/>
  <c r="Q449" i="4"/>
  <c r="Q450" i="4"/>
  <c r="Q451" i="4"/>
  <c r="Q452" i="4"/>
  <c r="Q453" i="4"/>
  <c r="Q454" i="4"/>
  <c r="Q455" i="4"/>
  <c r="Q456" i="4"/>
  <c r="Q457" i="4"/>
  <c r="Q458" i="4"/>
  <c r="Q459" i="4"/>
  <c r="Q460" i="4"/>
  <c r="Q461" i="4"/>
  <c r="Q462" i="4"/>
  <c r="Q463" i="4"/>
  <c r="Q464" i="4"/>
  <c r="Q465" i="4"/>
  <c r="Q466" i="4"/>
  <c r="Q467" i="4"/>
  <c r="Q468" i="4"/>
  <c r="Q469" i="4"/>
  <c r="Q470" i="4"/>
  <c r="Q471" i="4"/>
  <c r="Q472" i="4"/>
  <c r="Q473" i="4"/>
  <c r="Q474" i="4"/>
  <c r="Q475" i="4"/>
  <c r="Q476" i="4"/>
  <c r="Q477" i="4"/>
  <c r="Q478" i="4"/>
  <c r="Q479" i="4"/>
  <c r="Q480" i="4"/>
  <c r="Q481" i="4"/>
  <c r="Q482" i="4"/>
  <c r="Q483" i="4"/>
  <c r="Q484" i="4"/>
  <c r="Q485" i="4"/>
  <c r="Q486" i="4"/>
  <c r="Q487" i="4"/>
  <c r="Q488" i="4"/>
  <c r="Q489" i="4"/>
  <c r="Q490" i="4"/>
  <c r="Q491" i="4"/>
  <c r="Q492" i="4"/>
  <c r="Q493" i="4"/>
  <c r="Q494" i="4"/>
  <c r="Q495" i="4"/>
  <c r="Q496" i="4"/>
  <c r="Q497" i="4"/>
  <c r="Q498" i="4"/>
  <c r="Q499" i="4"/>
  <c r="Q500" i="4"/>
  <c r="Q501" i="4"/>
  <c r="Q502" i="4"/>
  <c r="Q503" i="4"/>
  <c r="Q504" i="4"/>
  <c r="Q505" i="4"/>
  <c r="Q506" i="4"/>
  <c r="Q507" i="4"/>
  <c r="Q508" i="4"/>
  <c r="P2" i="4"/>
  <c r="P3" i="4"/>
  <c r="P4" i="4"/>
  <c r="P5" i="4"/>
  <c r="P6" i="4"/>
  <c r="P7" i="4"/>
  <c r="P8" i="4"/>
  <c r="P9" i="4"/>
  <c r="P10" i="4"/>
  <c r="P11" i="4"/>
  <c r="P12" i="4"/>
  <c r="P13" i="4"/>
  <c r="P14" i="4"/>
  <c r="P15" i="4"/>
  <c r="P16" i="4"/>
  <c r="P17" i="4"/>
  <c r="P18" i="4"/>
  <c r="P19" i="4"/>
  <c r="P20" i="4"/>
  <c r="P21" i="4"/>
  <c r="P22" i="4"/>
  <c r="P23" i="4"/>
  <c r="P24" i="4"/>
  <c r="P25" i="4"/>
  <c r="P26" i="4"/>
  <c r="P27" i="4"/>
  <c r="P28" i="4"/>
  <c r="P29" i="4"/>
  <c r="P30" i="4"/>
  <c r="P31" i="4"/>
  <c r="P32" i="4"/>
  <c r="P33" i="4"/>
  <c r="P34" i="4"/>
  <c r="P35" i="4"/>
  <c r="P36" i="4"/>
  <c r="P37" i="4"/>
  <c r="P38" i="4"/>
  <c r="P39" i="4"/>
  <c r="P40" i="4"/>
  <c r="P41" i="4"/>
  <c r="P42" i="4"/>
  <c r="P43" i="4"/>
  <c r="P44" i="4"/>
  <c r="P45" i="4"/>
  <c r="P46" i="4"/>
  <c r="P47" i="4"/>
  <c r="P48" i="4"/>
  <c r="P49" i="4"/>
  <c r="P50" i="4"/>
  <c r="P51" i="4"/>
  <c r="P52" i="4"/>
  <c r="P53" i="4"/>
  <c r="P54" i="4"/>
  <c r="P55" i="4"/>
  <c r="P56" i="4"/>
  <c r="P57" i="4"/>
  <c r="P58" i="4"/>
  <c r="P59" i="4"/>
  <c r="P60" i="4"/>
  <c r="P61" i="4"/>
  <c r="P62" i="4"/>
  <c r="P63" i="4"/>
  <c r="P64" i="4"/>
  <c r="P65" i="4"/>
  <c r="P66" i="4"/>
  <c r="P67" i="4"/>
  <c r="P68" i="4"/>
  <c r="P69" i="4"/>
  <c r="P70" i="4"/>
  <c r="P71" i="4"/>
  <c r="P72" i="4"/>
  <c r="P73" i="4"/>
  <c r="P74" i="4"/>
  <c r="P75" i="4"/>
  <c r="P76" i="4"/>
  <c r="P77" i="4"/>
  <c r="P78" i="4"/>
  <c r="P79" i="4"/>
  <c r="P80" i="4"/>
  <c r="P81" i="4"/>
  <c r="P82" i="4"/>
  <c r="P83" i="4"/>
  <c r="P84" i="4"/>
  <c r="P85" i="4"/>
  <c r="P86" i="4"/>
  <c r="P87" i="4"/>
  <c r="P88" i="4"/>
  <c r="P89" i="4"/>
  <c r="P90" i="4"/>
  <c r="P91" i="4"/>
  <c r="P92" i="4"/>
  <c r="P93" i="4"/>
  <c r="P94" i="4"/>
  <c r="P95" i="4"/>
  <c r="P96" i="4"/>
  <c r="P97" i="4"/>
  <c r="P98" i="4"/>
  <c r="P99" i="4"/>
  <c r="P100" i="4"/>
  <c r="P101" i="4"/>
  <c r="P102" i="4"/>
  <c r="P103" i="4"/>
  <c r="P104" i="4"/>
  <c r="P105" i="4"/>
  <c r="P106" i="4"/>
  <c r="P107" i="4"/>
  <c r="P108" i="4"/>
  <c r="P109" i="4"/>
  <c r="P110" i="4"/>
  <c r="P111" i="4"/>
  <c r="P112" i="4"/>
  <c r="P113" i="4"/>
  <c r="P114" i="4"/>
  <c r="P115" i="4"/>
  <c r="P116" i="4"/>
  <c r="P117" i="4"/>
  <c r="P118" i="4"/>
  <c r="P119" i="4"/>
  <c r="P120" i="4"/>
  <c r="P121" i="4"/>
  <c r="P122" i="4"/>
  <c r="P123" i="4"/>
  <c r="P124" i="4"/>
  <c r="P125" i="4"/>
  <c r="P126" i="4"/>
  <c r="P127" i="4"/>
  <c r="P128" i="4"/>
  <c r="P129" i="4"/>
  <c r="P130" i="4"/>
  <c r="P131" i="4"/>
  <c r="P132" i="4"/>
  <c r="P133" i="4"/>
  <c r="P134" i="4"/>
  <c r="P135" i="4"/>
  <c r="P136" i="4"/>
  <c r="P137" i="4"/>
  <c r="P138" i="4"/>
  <c r="P139" i="4"/>
  <c r="P140" i="4"/>
  <c r="P141" i="4"/>
  <c r="P142" i="4"/>
  <c r="P143" i="4"/>
  <c r="P144" i="4"/>
  <c r="P145" i="4"/>
  <c r="P146" i="4"/>
  <c r="P147" i="4"/>
  <c r="P148" i="4"/>
  <c r="P149" i="4"/>
  <c r="P150" i="4"/>
  <c r="P151" i="4"/>
  <c r="P152" i="4"/>
  <c r="P153" i="4"/>
  <c r="P154" i="4"/>
  <c r="P155" i="4"/>
  <c r="P156" i="4"/>
  <c r="P157" i="4"/>
  <c r="P158" i="4"/>
  <c r="P159" i="4"/>
  <c r="P160" i="4"/>
  <c r="P161" i="4"/>
  <c r="P162" i="4"/>
  <c r="P163" i="4"/>
  <c r="P164" i="4"/>
  <c r="P165" i="4"/>
  <c r="P166" i="4"/>
  <c r="P167" i="4"/>
  <c r="P168" i="4"/>
  <c r="P169" i="4"/>
  <c r="P170" i="4"/>
  <c r="P171" i="4"/>
  <c r="P172" i="4"/>
  <c r="P173" i="4"/>
  <c r="P174" i="4"/>
  <c r="P175" i="4"/>
  <c r="P176" i="4"/>
  <c r="P177" i="4"/>
  <c r="P178" i="4"/>
  <c r="P179" i="4"/>
  <c r="P180" i="4"/>
  <c r="P181" i="4"/>
  <c r="P182" i="4"/>
  <c r="P183" i="4"/>
  <c r="P184" i="4"/>
  <c r="P185" i="4"/>
  <c r="P186" i="4"/>
  <c r="P187" i="4"/>
  <c r="P188" i="4"/>
  <c r="P189" i="4"/>
  <c r="P190" i="4"/>
  <c r="P191" i="4"/>
  <c r="P192" i="4"/>
  <c r="P193" i="4"/>
  <c r="P194" i="4"/>
  <c r="P195" i="4"/>
  <c r="P196" i="4"/>
  <c r="P197" i="4"/>
  <c r="P198" i="4"/>
  <c r="P199" i="4"/>
  <c r="P200" i="4"/>
  <c r="P201" i="4"/>
  <c r="P202" i="4"/>
  <c r="P203" i="4"/>
  <c r="P204" i="4"/>
  <c r="P205" i="4"/>
  <c r="P206" i="4"/>
  <c r="P207" i="4"/>
  <c r="P208" i="4"/>
  <c r="P209" i="4"/>
  <c r="P210" i="4"/>
  <c r="P211" i="4"/>
  <c r="P212" i="4"/>
  <c r="P213" i="4"/>
  <c r="P214" i="4"/>
  <c r="P215" i="4"/>
  <c r="P216" i="4"/>
  <c r="P217" i="4"/>
  <c r="P218" i="4"/>
  <c r="P219" i="4"/>
  <c r="P220" i="4"/>
  <c r="P221" i="4"/>
  <c r="P222" i="4"/>
  <c r="P223" i="4"/>
  <c r="P224" i="4"/>
  <c r="P225" i="4"/>
  <c r="P226" i="4"/>
  <c r="P227" i="4"/>
  <c r="P228" i="4"/>
  <c r="P229" i="4"/>
  <c r="P230" i="4"/>
  <c r="P231" i="4"/>
  <c r="P232" i="4"/>
  <c r="P233" i="4"/>
  <c r="P234" i="4"/>
  <c r="P235" i="4"/>
  <c r="P236" i="4"/>
  <c r="P237" i="4"/>
  <c r="P238" i="4"/>
  <c r="P239" i="4"/>
  <c r="P240" i="4"/>
  <c r="P241" i="4"/>
  <c r="P242" i="4"/>
  <c r="P243" i="4"/>
  <c r="P244" i="4"/>
  <c r="P245" i="4"/>
  <c r="P246" i="4"/>
  <c r="P247" i="4"/>
  <c r="P248" i="4"/>
  <c r="P249" i="4"/>
  <c r="P250" i="4"/>
  <c r="P251" i="4"/>
  <c r="P252" i="4"/>
  <c r="P253" i="4"/>
  <c r="P254" i="4"/>
  <c r="P255" i="4"/>
  <c r="P256" i="4"/>
  <c r="P257" i="4"/>
  <c r="P258" i="4"/>
  <c r="P259" i="4"/>
  <c r="P260" i="4"/>
  <c r="P261" i="4"/>
  <c r="P262" i="4"/>
  <c r="P263" i="4"/>
  <c r="P264" i="4"/>
  <c r="P265" i="4"/>
  <c r="P266" i="4"/>
  <c r="P267" i="4"/>
  <c r="P268" i="4"/>
  <c r="P269" i="4"/>
  <c r="P270" i="4"/>
  <c r="P271" i="4"/>
  <c r="P272" i="4"/>
  <c r="P273" i="4"/>
  <c r="P274" i="4"/>
  <c r="P275" i="4"/>
  <c r="P276" i="4"/>
  <c r="P277" i="4"/>
  <c r="P278" i="4"/>
  <c r="P279" i="4"/>
  <c r="P280" i="4"/>
  <c r="P281" i="4"/>
  <c r="P282" i="4"/>
  <c r="P283" i="4"/>
  <c r="P284" i="4"/>
  <c r="P285" i="4"/>
  <c r="P286" i="4"/>
  <c r="P287" i="4"/>
  <c r="P288" i="4"/>
  <c r="P289" i="4"/>
  <c r="P290" i="4"/>
  <c r="P291" i="4"/>
  <c r="P292" i="4"/>
  <c r="P293" i="4"/>
  <c r="P294" i="4"/>
  <c r="P295" i="4"/>
  <c r="P296" i="4"/>
  <c r="P297" i="4"/>
  <c r="P298" i="4"/>
  <c r="P299" i="4"/>
  <c r="P300" i="4"/>
  <c r="P301" i="4"/>
  <c r="P302" i="4"/>
  <c r="P303" i="4"/>
  <c r="P304" i="4"/>
  <c r="P305" i="4"/>
  <c r="P306" i="4"/>
  <c r="P307" i="4"/>
  <c r="P308" i="4"/>
  <c r="P309" i="4"/>
  <c r="P310" i="4"/>
  <c r="P311" i="4"/>
  <c r="P312" i="4"/>
  <c r="P313" i="4"/>
  <c r="P314" i="4"/>
  <c r="P315" i="4"/>
  <c r="P316" i="4"/>
  <c r="P317" i="4"/>
  <c r="P318" i="4"/>
  <c r="P319" i="4"/>
  <c r="P320" i="4"/>
  <c r="P321" i="4"/>
  <c r="P322" i="4"/>
  <c r="P323" i="4"/>
  <c r="P324" i="4"/>
  <c r="P325" i="4"/>
  <c r="P326" i="4"/>
  <c r="P327" i="4"/>
  <c r="P328" i="4"/>
  <c r="P329" i="4"/>
  <c r="P330" i="4"/>
  <c r="P331" i="4"/>
  <c r="P332" i="4"/>
  <c r="P333" i="4"/>
  <c r="P334" i="4"/>
  <c r="P335" i="4"/>
  <c r="P336" i="4"/>
  <c r="P337" i="4"/>
  <c r="P338" i="4"/>
  <c r="P339" i="4"/>
  <c r="P340" i="4"/>
  <c r="P341" i="4"/>
  <c r="P342" i="4"/>
  <c r="P343" i="4"/>
  <c r="P344" i="4"/>
  <c r="P345" i="4"/>
  <c r="P346" i="4"/>
  <c r="P347" i="4"/>
  <c r="P348" i="4"/>
  <c r="P349" i="4"/>
  <c r="P350" i="4"/>
  <c r="P351" i="4"/>
  <c r="P352" i="4"/>
  <c r="P353" i="4"/>
  <c r="P354" i="4"/>
  <c r="P355" i="4"/>
  <c r="P356" i="4"/>
  <c r="P357" i="4"/>
  <c r="P358" i="4"/>
  <c r="P359" i="4"/>
  <c r="P360" i="4"/>
  <c r="P361" i="4"/>
  <c r="P362" i="4"/>
  <c r="P363" i="4"/>
  <c r="P364" i="4"/>
  <c r="P365" i="4"/>
  <c r="P366" i="4"/>
  <c r="P367" i="4"/>
  <c r="P368" i="4"/>
  <c r="P369" i="4"/>
  <c r="P370" i="4"/>
  <c r="P371" i="4"/>
  <c r="P372" i="4"/>
  <c r="P373" i="4"/>
  <c r="P374" i="4"/>
  <c r="P375" i="4"/>
  <c r="P376" i="4"/>
  <c r="P377" i="4"/>
  <c r="P378" i="4"/>
  <c r="P379" i="4"/>
  <c r="P380" i="4"/>
  <c r="P381" i="4"/>
  <c r="P382" i="4"/>
  <c r="P383" i="4"/>
  <c r="P384" i="4"/>
  <c r="P385" i="4"/>
  <c r="P386" i="4"/>
  <c r="P387" i="4"/>
  <c r="P388" i="4"/>
  <c r="P389" i="4"/>
  <c r="P390" i="4"/>
  <c r="P391" i="4"/>
  <c r="P392" i="4"/>
  <c r="P393" i="4"/>
  <c r="P394" i="4"/>
  <c r="P395" i="4"/>
  <c r="P396" i="4"/>
  <c r="P397" i="4"/>
  <c r="P398" i="4"/>
  <c r="P399" i="4"/>
  <c r="P400" i="4"/>
  <c r="P401" i="4"/>
  <c r="P402" i="4"/>
  <c r="P403" i="4"/>
  <c r="P404" i="4"/>
  <c r="P405" i="4"/>
  <c r="P406" i="4"/>
  <c r="P407" i="4"/>
  <c r="P408" i="4"/>
  <c r="P409" i="4"/>
  <c r="P410" i="4"/>
  <c r="P411" i="4"/>
  <c r="P412" i="4"/>
  <c r="P413" i="4"/>
  <c r="P414" i="4"/>
  <c r="P415" i="4"/>
  <c r="P416" i="4"/>
  <c r="P417" i="4"/>
  <c r="P418" i="4"/>
  <c r="P419" i="4"/>
  <c r="P420" i="4"/>
  <c r="P421" i="4"/>
  <c r="P422" i="4"/>
  <c r="P423" i="4"/>
  <c r="P424" i="4"/>
  <c r="P425" i="4"/>
  <c r="P426" i="4"/>
  <c r="P427" i="4"/>
  <c r="P428" i="4"/>
  <c r="P429" i="4"/>
  <c r="P430" i="4"/>
  <c r="P431" i="4"/>
  <c r="P432" i="4"/>
  <c r="P433" i="4"/>
  <c r="P434" i="4"/>
  <c r="P435" i="4"/>
  <c r="P436" i="4"/>
  <c r="P437" i="4"/>
  <c r="P438" i="4"/>
  <c r="P439" i="4"/>
  <c r="P440" i="4"/>
  <c r="P441" i="4"/>
  <c r="P442" i="4"/>
  <c r="P443" i="4"/>
  <c r="P444" i="4"/>
  <c r="P445" i="4"/>
  <c r="P446" i="4"/>
  <c r="P447" i="4"/>
  <c r="P448" i="4"/>
  <c r="P449" i="4"/>
  <c r="P450" i="4"/>
  <c r="P451" i="4"/>
  <c r="P452" i="4"/>
  <c r="P453" i="4"/>
  <c r="P454" i="4"/>
  <c r="P455" i="4"/>
  <c r="P456" i="4"/>
  <c r="P457" i="4"/>
  <c r="P458" i="4"/>
  <c r="P459" i="4"/>
  <c r="P460" i="4"/>
  <c r="P461" i="4"/>
  <c r="P462" i="4"/>
  <c r="P463" i="4"/>
  <c r="P464" i="4"/>
  <c r="P465" i="4"/>
  <c r="P466" i="4"/>
  <c r="P467" i="4"/>
  <c r="P468" i="4"/>
  <c r="P469" i="4"/>
  <c r="P470" i="4"/>
  <c r="P471" i="4"/>
  <c r="P472" i="4"/>
  <c r="P473" i="4"/>
  <c r="P474" i="4"/>
  <c r="P475" i="4"/>
  <c r="P476" i="4"/>
  <c r="P477" i="4"/>
  <c r="P478" i="4"/>
  <c r="P479" i="4"/>
  <c r="P480" i="4"/>
  <c r="P481" i="4"/>
  <c r="P482" i="4"/>
  <c r="P483" i="4"/>
  <c r="P484" i="4"/>
  <c r="P485" i="4"/>
  <c r="P486" i="4"/>
  <c r="P487" i="4"/>
  <c r="P488" i="4"/>
  <c r="P489" i="4"/>
  <c r="P490" i="4"/>
  <c r="P491" i="4"/>
  <c r="P492" i="4"/>
  <c r="P493" i="4"/>
  <c r="P494" i="4"/>
  <c r="P495" i="4"/>
  <c r="P496" i="4"/>
  <c r="P497" i="4"/>
  <c r="P498" i="4"/>
  <c r="P499" i="4"/>
  <c r="P500" i="4"/>
  <c r="P501" i="4"/>
  <c r="P502" i="4"/>
  <c r="P503" i="4"/>
  <c r="P504" i="4"/>
  <c r="P505" i="4"/>
  <c r="P506" i="4"/>
  <c r="P507" i="4"/>
  <c r="P508" i="4"/>
  <c r="O2" i="4"/>
  <c r="O3" i="4"/>
  <c r="O4" i="4"/>
  <c r="O5" i="4"/>
  <c r="O6" i="4"/>
  <c r="O7" i="4"/>
  <c r="O8" i="4"/>
  <c r="O9" i="4"/>
  <c r="O10" i="4"/>
  <c r="O11" i="4"/>
  <c r="O12" i="4"/>
  <c r="O13" i="4"/>
  <c r="O14" i="4"/>
  <c r="O15" i="4"/>
  <c r="O16" i="4"/>
  <c r="O17" i="4"/>
  <c r="O18" i="4"/>
  <c r="O19" i="4"/>
  <c r="O20" i="4"/>
  <c r="O21" i="4"/>
  <c r="O22" i="4"/>
  <c r="O23" i="4"/>
  <c r="O24" i="4"/>
  <c r="O25" i="4"/>
  <c r="O26" i="4"/>
  <c r="O27" i="4"/>
  <c r="O28" i="4"/>
  <c r="O29" i="4"/>
  <c r="O30" i="4"/>
  <c r="O31" i="4"/>
  <c r="O32" i="4"/>
  <c r="O33" i="4"/>
  <c r="O34" i="4"/>
  <c r="O35" i="4"/>
  <c r="O36" i="4"/>
  <c r="O37" i="4"/>
  <c r="O38" i="4"/>
  <c r="O39" i="4"/>
  <c r="O40" i="4"/>
  <c r="O41" i="4"/>
  <c r="O42" i="4"/>
  <c r="O43" i="4"/>
  <c r="O44" i="4"/>
  <c r="O45" i="4"/>
  <c r="O46" i="4"/>
  <c r="O47" i="4"/>
  <c r="O48" i="4"/>
  <c r="O49" i="4"/>
  <c r="O50" i="4"/>
  <c r="O51" i="4"/>
  <c r="O52" i="4"/>
  <c r="O53" i="4"/>
  <c r="O54" i="4"/>
  <c r="O55" i="4"/>
  <c r="O56" i="4"/>
  <c r="O57" i="4"/>
  <c r="O58" i="4"/>
  <c r="O59" i="4"/>
  <c r="O60" i="4"/>
  <c r="O61" i="4"/>
  <c r="O62" i="4"/>
  <c r="O63" i="4"/>
  <c r="O64" i="4"/>
  <c r="O65" i="4"/>
  <c r="O66" i="4"/>
  <c r="O67" i="4"/>
  <c r="O68" i="4"/>
  <c r="O69" i="4"/>
  <c r="O70" i="4"/>
  <c r="O71" i="4"/>
  <c r="O72" i="4"/>
  <c r="O73" i="4"/>
  <c r="O74" i="4"/>
  <c r="O75" i="4"/>
  <c r="O76" i="4"/>
  <c r="O77" i="4"/>
  <c r="O78" i="4"/>
  <c r="O79" i="4"/>
  <c r="O80" i="4"/>
  <c r="O81" i="4"/>
  <c r="O82" i="4"/>
  <c r="O83" i="4"/>
  <c r="O84" i="4"/>
  <c r="O85" i="4"/>
  <c r="O86" i="4"/>
  <c r="O87" i="4"/>
  <c r="O88" i="4"/>
  <c r="O89" i="4"/>
  <c r="O90" i="4"/>
  <c r="O91" i="4"/>
  <c r="O92" i="4"/>
  <c r="O93" i="4"/>
  <c r="O94" i="4"/>
  <c r="O95" i="4"/>
  <c r="O96" i="4"/>
  <c r="O97" i="4"/>
  <c r="O98" i="4"/>
  <c r="O99" i="4"/>
  <c r="O100" i="4"/>
  <c r="O101" i="4"/>
  <c r="O102" i="4"/>
  <c r="O103" i="4"/>
  <c r="O104" i="4"/>
  <c r="O105" i="4"/>
  <c r="O106" i="4"/>
  <c r="O107" i="4"/>
  <c r="O108" i="4"/>
  <c r="O109" i="4"/>
  <c r="O110" i="4"/>
  <c r="O111" i="4"/>
  <c r="O112" i="4"/>
  <c r="O113" i="4"/>
  <c r="O114" i="4"/>
  <c r="O115" i="4"/>
  <c r="O116" i="4"/>
  <c r="O117" i="4"/>
  <c r="O118" i="4"/>
  <c r="O119" i="4"/>
  <c r="O120" i="4"/>
  <c r="O121" i="4"/>
  <c r="O122" i="4"/>
  <c r="O123" i="4"/>
  <c r="O124" i="4"/>
  <c r="O125" i="4"/>
  <c r="O126" i="4"/>
  <c r="O127" i="4"/>
  <c r="O128" i="4"/>
  <c r="O129" i="4"/>
  <c r="O130" i="4"/>
  <c r="O131" i="4"/>
  <c r="O132" i="4"/>
  <c r="O133" i="4"/>
  <c r="O134" i="4"/>
  <c r="O135" i="4"/>
  <c r="O136" i="4"/>
  <c r="O137" i="4"/>
  <c r="O138" i="4"/>
  <c r="O139" i="4"/>
  <c r="O140" i="4"/>
  <c r="O141" i="4"/>
  <c r="O142" i="4"/>
  <c r="O143" i="4"/>
  <c r="O144" i="4"/>
  <c r="O145" i="4"/>
  <c r="O146" i="4"/>
  <c r="O147" i="4"/>
  <c r="O148" i="4"/>
  <c r="O149" i="4"/>
  <c r="O150" i="4"/>
  <c r="O151" i="4"/>
  <c r="O152" i="4"/>
  <c r="O153" i="4"/>
  <c r="O154" i="4"/>
  <c r="O155" i="4"/>
  <c r="O156" i="4"/>
  <c r="O157" i="4"/>
  <c r="O158" i="4"/>
  <c r="O159" i="4"/>
  <c r="O160" i="4"/>
  <c r="O161" i="4"/>
  <c r="O162" i="4"/>
  <c r="O163" i="4"/>
  <c r="O164" i="4"/>
  <c r="O165" i="4"/>
  <c r="O166" i="4"/>
  <c r="O167" i="4"/>
  <c r="O168" i="4"/>
  <c r="O169" i="4"/>
  <c r="O170" i="4"/>
  <c r="O171" i="4"/>
  <c r="O172" i="4"/>
  <c r="O173" i="4"/>
  <c r="O174" i="4"/>
  <c r="O175" i="4"/>
  <c r="O176" i="4"/>
  <c r="O177" i="4"/>
  <c r="O178" i="4"/>
  <c r="O179" i="4"/>
  <c r="O180" i="4"/>
  <c r="O181" i="4"/>
  <c r="O182" i="4"/>
  <c r="O183" i="4"/>
  <c r="O184" i="4"/>
  <c r="O185" i="4"/>
  <c r="O186" i="4"/>
  <c r="O187" i="4"/>
  <c r="O188" i="4"/>
  <c r="O189" i="4"/>
  <c r="O190" i="4"/>
  <c r="O191" i="4"/>
  <c r="O192" i="4"/>
  <c r="O193" i="4"/>
  <c r="O194" i="4"/>
  <c r="O195" i="4"/>
  <c r="O196" i="4"/>
  <c r="O197" i="4"/>
  <c r="O198" i="4"/>
  <c r="O199" i="4"/>
  <c r="O200" i="4"/>
  <c r="O201" i="4"/>
  <c r="O202" i="4"/>
  <c r="O203" i="4"/>
  <c r="O204" i="4"/>
  <c r="O205" i="4"/>
  <c r="O206" i="4"/>
  <c r="O207" i="4"/>
  <c r="O208" i="4"/>
  <c r="O209" i="4"/>
  <c r="O210" i="4"/>
  <c r="O211" i="4"/>
  <c r="O212" i="4"/>
  <c r="O213" i="4"/>
  <c r="O214" i="4"/>
  <c r="O215" i="4"/>
  <c r="O216" i="4"/>
  <c r="O217" i="4"/>
  <c r="O218" i="4"/>
  <c r="O219" i="4"/>
  <c r="O220" i="4"/>
  <c r="O221" i="4"/>
  <c r="O222" i="4"/>
  <c r="O223" i="4"/>
  <c r="O224" i="4"/>
  <c r="O225" i="4"/>
  <c r="O226" i="4"/>
  <c r="O227" i="4"/>
  <c r="O228" i="4"/>
  <c r="O229" i="4"/>
  <c r="O230" i="4"/>
  <c r="O231" i="4"/>
  <c r="O232" i="4"/>
  <c r="O233" i="4"/>
  <c r="O234" i="4"/>
  <c r="O235" i="4"/>
  <c r="O236" i="4"/>
  <c r="O237" i="4"/>
  <c r="O238" i="4"/>
  <c r="O239" i="4"/>
  <c r="O240" i="4"/>
  <c r="O241" i="4"/>
  <c r="O242" i="4"/>
  <c r="O243" i="4"/>
  <c r="O244" i="4"/>
  <c r="O245" i="4"/>
  <c r="O246" i="4"/>
  <c r="O247" i="4"/>
  <c r="O248" i="4"/>
  <c r="O249" i="4"/>
  <c r="O250" i="4"/>
  <c r="O251" i="4"/>
  <c r="O252" i="4"/>
  <c r="O253" i="4"/>
  <c r="O254" i="4"/>
  <c r="O255" i="4"/>
  <c r="O256" i="4"/>
  <c r="O257" i="4"/>
  <c r="O258" i="4"/>
  <c r="O259" i="4"/>
  <c r="O260" i="4"/>
  <c r="O261" i="4"/>
  <c r="O262" i="4"/>
  <c r="O263" i="4"/>
  <c r="O264" i="4"/>
  <c r="O265" i="4"/>
  <c r="O266" i="4"/>
  <c r="O267" i="4"/>
  <c r="O268" i="4"/>
  <c r="O269" i="4"/>
  <c r="O270" i="4"/>
  <c r="O271" i="4"/>
  <c r="O272" i="4"/>
  <c r="O273" i="4"/>
  <c r="O274" i="4"/>
  <c r="O275" i="4"/>
  <c r="O276" i="4"/>
  <c r="O277" i="4"/>
  <c r="O278" i="4"/>
  <c r="O279" i="4"/>
  <c r="O280" i="4"/>
  <c r="O281" i="4"/>
  <c r="O282" i="4"/>
  <c r="O283" i="4"/>
  <c r="O284" i="4"/>
  <c r="O285" i="4"/>
  <c r="O286" i="4"/>
  <c r="O287" i="4"/>
  <c r="O288" i="4"/>
  <c r="O289" i="4"/>
  <c r="O290" i="4"/>
  <c r="O291" i="4"/>
  <c r="O292" i="4"/>
  <c r="O293" i="4"/>
  <c r="O294" i="4"/>
  <c r="O295" i="4"/>
  <c r="O296" i="4"/>
  <c r="O297" i="4"/>
  <c r="O298" i="4"/>
  <c r="O299" i="4"/>
  <c r="O300" i="4"/>
  <c r="O301" i="4"/>
  <c r="O302" i="4"/>
  <c r="O303" i="4"/>
  <c r="O304" i="4"/>
  <c r="O305" i="4"/>
  <c r="O306" i="4"/>
  <c r="O307" i="4"/>
  <c r="O308" i="4"/>
  <c r="O309" i="4"/>
  <c r="O310" i="4"/>
  <c r="O311" i="4"/>
  <c r="O312" i="4"/>
  <c r="O313" i="4"/>
  <c r="O314" i="4"/>
  <c r="O315" i="4"/>
  <c r="O316" i="4"/>
  <c r="O317" i="4"/>
  <c r="O318" i="4"/>
  <c r="O319" i="4"/>
  <c r="O320" i="4"/>
  <c r="O321" i="4"/>
  <c r="O322" i="4"/>
  <c r="O323" i="4"/>
  <c r="O324" i="4"/>
  <c r="O325" i="4"/>
  <c r="O326" i="4"/>
  <c r="O327" i="4"/>
  <c r="O328" i="4"/>
  <c r="O329" i="4"/>
  <c r="O330" i="4"/>
  <c r="O331" i="4"/>
  <c r="O332" i="4"/>
  <c r="O333" i="4"/>
  <c r="O334" i="4"/>
  <c r="O335" i="4"/>
  <c r="O336" i="4"/>
  <c r="O337" i="4"/>
  <c r="O338" i="4"/>
  <c r="O339" i="4"/>
  <c r="O340" i="4"/>
  <c r="O341" i="4"/>
  <c r="O342" i="4"/>
  <c r="O343" i="4"/>
  <c r="O344" i="4"/>
  <c r="O345" i="4"/>
  <c r="O346" i="4"/>
  <c r="O347" i="4"/>
  <c r="O348" i="4"/>
  <c r="O349" i="4"/>
  <c r="O350" i="4"/>
  <c r="O351" i="4"/>
  <c r="O352" i="4"/>
  <c r="O353" i="4"/>
  <c r="O354" i="4"/>
  <c r="O355" i="4"/>
  <c r="O356" i="4"/>
  <c r="O357" i="4"/>
  <c r="O358" i="4"/>
  <c r="O359" i="4"/>
  <c r="O360" i="4"/>
  <c r="O361" i="4"/>
  <c r="O362" i="4"/>
  <c r="O363" i="4"/>
  <c r="O364" i="4"/>
  <c r="O365" i="4"/>
  <c r="O366" i="4"/>
  <c r="O367" i="4"/>
  <c r="O368" i="4"/>
  <c r="O369" i="4"/>
  <c r="O370" i="4"/>
  <c r="O371" i="4"/>
  <c r="O372" i="4"/>
  <c r="O373" i="4"/>
  <c r="O374" i="4"/>
  <c r="O375" i="4"/>
  <c r="O376" i="4"/>
  <c r="O377" i="4"/>
  <c r="O378" i="4"/>
  <c r="O379" i="4"/>
  <c r="O380" i="4"/>
  <c r="O381" i="4"/>
  <c r="O382" i="4"/>
  <c r="O383" i="4"/>
  <c r="O384" i="4"/>
  <c r="O385" i="4"/>
  <c r="O386" i="4"/>
  <c r="O387" i="4"/>
  <c r="O388" i="4"/>
  <c r="O389" i="4"/>
  <c r="O390" i="4"/>
  <c r="O391" i="4"/>
  <c r="O392" i="4"/>
  <c r="O393" i="4"/>
  <c r="O394" i="4"/>
  <c r="O395" i="4"/>
  <c r="O396" i="4"/>
  <c r="O397" i="4"/>
  <c r="O398" i="4"/>
  <c r="O399" i="4"/>
  <c r="O400" i="4"/>
  <c r="O401" i="4"/>
  <c r="O402" i="4"/>
  <c r="O403" i="4"/>
  <c r="O404" i="4"/>
  <c r="O405" i="4"/>
  <c r="O406" i="4"/>
  <c r="O407" i="4"/>
  <c r="O408" i="4"/>
  <c r="O409" i="4"/>
  <c r="O410" i="4"/>
  <c r="O411" i="4"/>
  <c r="O412" i="4"/>
  <c r="O413" i="4"/>
  <c r="O414" i="4"/>
  <c r="O415" i="4"/>
  <c r="O416" i="4"/>
  <c r="O417" i="4"/>
  <c r="O418" i="4"/>
  <c r="O419" i="4"/>
  <c r="O420" i="4"/>
  <c r="O421" i="4"/>
  <c r="O422" i="4"/>
  <c r="O423" i="4"/>
  <c r="O424" i="4"/>
  <c r="O425" i="4"/>
  <c r="O426" i="4"/>
  <c r="O427" i="4"/>
  <c r="O428" i="4"/>
  <c r="O429" i="4"/>
  <c r="O430" i="4"/>
  <c r="O431" i="4"/>
  <c r="O432" i="4"/>
  <c r="O433" i="4"/>
  <c r="O434" i="4"/>
  <c r="O435" i="4"/>
  <c r="O436" i="4"/>
  <c r="O437" i="4"/>
  <c r="O438" i="4"/>
  <c r="O439" i="4"/>
  <c r="O440" i="4"/>
  <c r="O441" i="4"/>
  <c r="O442" i="4"/>
  <c r="O443" i="4"/>
  <c r="O444" i="4"/>
  <c r="O445" i="4"/>
  <c r="O446" i="4"/>
  <c r="O447" i="4"/>
  <c r="O448" i="4"/>
  <c r="O449" i="4"/>
  <c r="O450" i="4"/>
  <c r="O451" i="4"/>
  <c r="O452" i="4"/>
  <c r="O453" i="4"/>
  <c r="O454" i="4"/>
  <c r="O455" i="4"/>
  <c r="O456" i="4"/>
  <c r="O457" i="4"/>
  <c r="O458" i="4"/>
  <c r="O459" i="4"/>
  <c r="O460" i="4"/>
  <c r="O461" i="4"/>
  <c r="O462" i="4"/>
  <c r="O463" i="4"/>
  <c r="O464" i="4"/>
  <c r="O465" i="4"/>
  <c r="O466" i="4"/>
  <c r="O467" i="4"/>
  <c r="O468" i="4"/>
  <c r="O469" i="4"/>
  <c r="O470" i="4"/>
  <c r="O471" i="4"/>
  <c r="O472" i="4"/>
  <c r="O473" i="4"/>
  <c r="O474" i="4"/>
  <c r="O475" i="4"/>
  <c r="O476" i="4"/>
  <c r="O477" i="4"/>
  <c r="O478" i="4"/>
  <c r="O479" i="4"/>
  <c r="O480" i="4"/>
  <c r="O481" i="4"/>
  <c r="O482" i="4"/>
  <c r="O483" i="4"/>
  <c r="O484" i="4"/>
  <c r="O485" i="4"/>
  <c r="O486" i="4"/>
  <c r="O487" i="4"/>
  <c r="O488" i="4"/>
  <c r="O489" i="4"/>
  <c r="O490" i="4"/>
  <c r="O491" i="4"/>
  <c r="O492" i="4"/>
  <c r="O493" i="4"/>
  <c r="O494" i="4"/>
  <c r="O495" i="4"/>
  <c r="O496" i="4"/>
  <c r="O497" i="4"/>
  <c r="O498" i="4"/>
  <c r="O499" i="4"/>
  <c r="O500" i="4"/>
  <c r="O501" i="4"/>
  <c r="O502" i="4"/>
  <c r="O503" i="4"/>
  <c r="O504" i="4"/>
  <c r="O505" i="4"/>
  <c r="O506" i="4"/>
  <c r="O507" i="4"/>
  <c r="O508" i="4"/>
  <c r="N2" i="4"/>
  <c r="R2" i="4" s="1"/>
  <c r="N3" i="4"/>
  <c r="R3" i="4" s="1"/>
  <c r="N4" i="4"/>
  <c r="R4" i="4" s="1"/>
  <c r="N5" i="4"/>
  <c r="R5" i="4" s="1"/>
  <c r="N6" i="4"/>
  <c r="R6" i="4" s="1"/>
  <c r="N7" i="4"/>
  <c r="R7" i="4" s="1"/>
  <c r="N8" i="4"/>
  <c r="R8" i="4" s="1"/>
  <c r="N9" i="4"/>
  <c r="R9" i="4" s="1"/>
  <c r="N10" i="4"/>
  <c r="R10" i="4" s="1"/>
  <c r="N11" i="4"/>
  <c r="R11" i="4" s="1"/>
  <c r="N12" i="4"/>
  <c r="R12" i="4" s="1"/>
  <c r="N13" i="4"/>
  <c r="R13" i="4" s="1"/>
  <c r="N14" i="4"/>
  <c r="R14" i="4" s="1"/>
  <c r="N15" i="4"/>
  <c r="R15" i="4" s="1"/>
  <c r="N16" i="4"/>
  <c r="R16" i="4" s="1"/>
  <c r="N17" i="4"/>
  <c r="R17" i="4" s="1"/>
  <c r="N18" i="4"/>
  <c r="R18" i="4" s="1"/>
  <c r="N19" i="4"/>
  <c r="R19" i="4" s="1"/>
  <c r="N20" i="4"/>
  <c r="R20" i="4" s="1"/>
  <c r="N21" i="4"/>
  <c r="R21" i="4" s="1"/>
  <c r="N22" i="4"/>
  <c r="R22" i="4" s="1"/>
  <c r="N23" i="4"/>
  <c r="R23" i="4" s="1"/>
  <c r="N24" i="4"/>
  <c r="R24" i="4" s="1"/>
  <c r="N25" i="4"/>
  <c r="R25" i="4" s="1"/>
  <c r="N26" i="4"/>
  <c r="R26" i="4" s="1"/>
  <c r="N27" i="4"/>
  <c r="R27" i="4" s="1"/>
  <c r="N28" i="4"/>
  <c r="R28" i="4" s="1"/>
  <c r="N29" i="4"/>
  <c r="R29" i="4" s="1"/>
  <c r="N30" i="4"/>
  <c r="R30" i="4" s="1"/>
  <c r="N31" i="4"/>
  <c r="R31" i="4" s="1"/>
  <c r="N32" i="4"/>
  <c r="R32" i="4" s="1"/>
  <c r="N33" i="4"/>
  <c r="R33" i="4" s="1"/>
  <c r="N34" i="4"/>
  <c r="R34" i="4" s="1"/>
  <c r="N35" i="4"/>
  <c r="R35" i="4" s="1"/>
  <c r="N36" i="4"/>
  <c r="R36" i="4" s="1"/>
  <c r="N37" i="4"/>
  <c r="R37" i="4" s="1"/>
  <c r="N38" i="4"/>
  <c r="R38" i="4" s="1"/>
  <c r="N39" i="4"/>
  <c r="R39" i="4" s="1"/>
  <c r="N40" i="4"/>
  <c r="R40" i="4" s="1"/>
  <c r="N41" i="4"/>
  <c r="R41" i="4" s="1"/>
  <c r="N42" i="4"/>
  <c r="R42" i="4" s="1"/>
  <c r="N43" i="4"/>
  <c r="R43" i="4" s="1"/>
  <c r="N44" i="4"/>
  <c r="R44" i="4" s="1"/>
  <c r="N45" i="4"/>
  <c r="R45" i="4" s="1"/>
  <c r="N46" i="4"/>
  <c r="R46" i="4" s="1"/>
  <c r="N47" i="4"/>
  <c r="R47" i="4" s="1"/>
  <c r="N48" i="4"/>
  <c r="R48" i="4" s="1"/>
  <c r="N49" i="4"/>
  <c r="R49" i="4" s="1"/>
  <c r="N50" i="4"/>
  <c r="R50" i="4" s="1"/>
  <c r="N51" i="4"/>
  <c r="R51" i="4" s="1"/>
  <c r="N52" i="4"/>
  <c r="R52" i="4" s="1"/>
  <c r="N53" i="4"/>
  <c r="R53" i="4" s="1"/>
  <c r="N54" i="4"/>
  <c r="R54" i="4" s="1"/>
  <c r="N55" i="4"/>
  <c r="R55" i="4" s="1"/>
  <c r="N56" i="4"/>
  <c r="R56" i="4" s="1"/>
  <c r="N57" i="4"/>
  <c r="R57" i="4" s="1"/>
  <c r="N58" i="4"/>
  <c r="R58" i="4" s="1"/>
  <c r="N59" i="4"/>
  <c r="R59" i="4" s="1"/>
  <c r="N60" i="4"/>
  <c r="R60" i="4" s="1"/>
  <c r="N61" i="4"/>
  <c r="R61" i="4" s="1"/>
  <c r="N62" i="4"/>
  <c r="R62" i="4" s="1"/>
  <c r="N63" i="4"/>
  <c r="R63" i="4" s="1"/>
  <c r="N64" i="4"/>
  <c r="R64" i="4" s="1"/>
  <c r="N65" i="4"/>
  <c r="R65" i="4" s="1"/>
  <c r="N66" i="4"/>
  <c r="R66" i="4" s="1"/>
  <c r="N67" i="4"/>
  <c r="R67" i="4" s="1"/>
  <c r="N68" i="4"/>
  <c r="R68" i="4" s="1"/>
  <c r="N69" i="4"/>
  <c r="R69" i="4" s="1"/>
  <c r="N70" i="4"/>
  <c r="R70" i="4" s="1"/>
  <c r="N71" i="4"/>
  <c r="R71" i="4" s="1"/>
  <c r="N72" i="4"/>
  <c r="R72" i="4" s="1"/>
  <c r="N73" i="4"/>
  <c r="R73" i="4" s="1"/>
  <c r="N74" i="4"/>
  <c r="R74" i="4" s="1"/>
  <c r="N75" i="4"/>
  <c r="R75" i="4" s="1"/>
  <c r="N76" i="4"/>
  <c r="R76" i="4" s="1"/>
  <c r="N77" i="4"/>
  <c r="R77" i="4" s="1"/>
  <c r="N78" i="4"/>
  <c r="R78" i="4" s="1"/>
  <c r="N79" i="4"/>
  <c r="R79" i="4" s="1"/>
  <c r="N80" i="4"/>
  <c r="R80" i="4" s="1"/>
  <c r="N81" i="4"/>
  <c r="R81" i="4" s="1"/>
  <c r="N82" i="4"/>
  <c r="R82" i="4" s="1"/>
  <c r="N83" i="4"/>
  <c r="R83" i="4" s="1"/>
  <c r="N84" i="4"/>
  <c r="R84" i="4" s="1"/>
  <c r="N85" i="4"/>
  <c r="R85" i="4" s="1"/>
  <c r="N86" i="4"/>
  <c r="R86" i="4" s="1"/>
  <c r="N87" i="4"/>
  <c r="R87" i="4" s="1"/>
  <c r="N88" i="4"/>
  <c r="R88" i="4" s="1"/>
  <c r="N89" i="4"/>
  <c r="R89" i="4" s="1"/>
  <c r="N90" i="4"/>
  <c r="R90" i="4" s="1"/>
  <c r="N91" i="4"/>
  <c r="R91" i="4" s="1"/>
  <c r="N92" i="4"/>
  <c r="R92" i="4" s="1"/>
  <c r="N93" i="4"/>
  <c r="R93" i="4" s="1"/>
  <c r="N94" i="4"/>
  <c r="R94" i="4" s="1"/>
  <c r="N95" i="4"/>
  <c r="R95" i="4" s="1"/>
  <c r="N96" i="4"/>
  <c r="R96" i="4" s="1"/>
  <c r="N97" i="4"/>
  <c r="R97" i="4" s="1"/>
  <c r="N98" i="4"/>
  <c r="R98" i="4" s="1"/>
  <c r="N99" i="4"/>
  <c r="R99" i="4" s="1"/>
  <c r="N100" i="4"/>
  <c r="R100" i="4" s="1"/>
  <c r="N101" i="4"/>
  <c r="R101" i="4" s="1"/>
  <c r="N102" i="4"/>
  <c r="R102" i="4" s="1"/>
  <c r="N103" i="4"/>
  <c r="R103" i="4" s="1"/>
  <c r="N104" i="4"/>
  <c r="R104" i="4" s="1"/>
  <c r="N105" i="4"/>
  <c r="R105" i="4" s="1"/>
  <c r="N106" i="4"/>
  <c r="R106" i="4" s="1"/>
  <c r="N107" i="4"/>
  <c r="R107" i="4" s="1"/>
  <c r="N108" i="4"/>
  <c r="R108" i="4" s="1"/>
  <c r="N109" i="4"/>
  <c r="R109" i="4" s="1"/>
  <c r="N110" i="4"/>
  <c r="R110" i="4" s="1"/>
  <c r="N111" i="4"/>
  <c r="R111" i="4" s="1"/>
  <c r="N112" i="4"/>
  <c r="R112" i="4" s="1"/>
  <c r="N113" i="4"/>
  <c r="R113" i="4" s="1"/>
  <c r="N114" i="4"/>
  <c r="R114" i="4" s="1"/>
  <c r="N115" i="4"/>
  <c r="R115" i="4" s="1"/>
  <c r="N116" i="4"/>
  <c r="R116" i="4" s="1"/>
  <c r="N117" i="4"/>
  <c r="R117" i="4" s="1"/>
  <c r="N118" i="4"/>
  <c r="R118" i="4" s="1"/>
  <c r="N119" i="4"/>
  <c r="R119" i="4" s="1"/>
  <c r="N120" i="4"/>
  <c r="R120" i="4" s="1"/>
  <c r="N121" i="4"/>
  <c r="R121" i="4" s="1"/>
  <c r="N122" i="4"/>
  <c r="R122" i="4" s="1"/>
  <c r="N123" i="4"/>
  <c r="R123" i="4" s="1"/>
  <c r="N124" i="4"/>
  <c r="R124" i="4" s="1"/>
  <c r="N125" i="4"/>
  <c r="R125" i="4" s="1"/>
  <c r="N126" i="4"/>
  <c r="R126" i="4" s="1"/>
  <c r="N127" i="4"/>
  <c r="R127" i="4" s="1"/>
  <c r="N128" i="4"/>
  <c r="R128" i="4" s="1"/>
  <c r="N129" i="4"/>
  <c r="R129" i="4" s="1"/>
  <c r="N130" i="4"/>
  <c r="R130" i="4" s="1"/>
  <c r="N131" i="4"/>
  <c r="R131" i="4" s="1"/>
  <c r="N132" i="4"/>
  <c r="R132" i="4" s="1"/>
  <c r="N133" i="4"/>
  <c r="R133" i="4" s="1"/>
  <c r="N134" i="4"/>
  <c r="R134" i="4" s="1"/>
  <c r="N135" i="4"/>
  <c r="R135" i="4" s="1"/>
  <c r="N136" i="4"/>
  <c r="R136" i="4" s="1"/>
  <c r="N137" i="4"/>
  <c r="R137" i="4" s="1"/>
  <c r="N138" i="4"/>
  <c r="R138" i="4" s="1"/>
  <c r="N139" i="4"/>
  <c r="R139" i="4" s="1"/>
  <c r="N140" i="4"/>
  <c r="R140" i="4" s="1"/>
  <c r="N141" i="4"/>
  <c r="R141" i="4" s="1"/>
  <c r="N142" i="4"/>
  <c r="R142" i="4" s="1"/>
  <c r="N143" i="4"/>
  <c r="R143" i="4" s="1"/>
  <c r="N144" i="4"/>
  <c r="R144" i="4" s="1"/>
  <c r="N145" i="4"/>
  <c r="R145" i="4" s="1"/>
  <c r="N146" i="4"/>
  <c r="R146" i="4" s="1"/>
  <c r="N147" i="4"/>
  <c r="R147" i="4" s="1"/>
  <c r="N148" i="4"/>
  <c r="R148" i="4" s="1"/>
  <c r="N149" i="4"/>
  <c r="R149" i="4" s="1"/>
  <c r="N150" i="4"/>
  <c r="R150" i="4" s="1"/>
  <c r="N151" i="4"/>
  <c r="R151" i="4" s="1"/>
  <c r="N152" i="4"/>
  <c r="R152" i="4" s="1"/>
  <c r="N153" i="4"/>
  <c r="R153" i="4" s="1"/>
  <c r="N154" i="4"/>
  <c r="R154" i="4" s="1"/>
  <c r="N155" i="4"/>
  <c r="R155" i="4" s="1"/>
  <c r="N156" i="4"/>
  <c r="R156" i="4" s="1"/>
  <c r="N157" i="4"/>
  <c r="R157" i="4" s="1"/>
  <c r="N158" i="4"/>
  <c r="R158" i="4" s="1"/>
  <c r="N159" i="4"/>
  <c r="R159" i="4" s="1"/>
  <c r="N160" i="4"/>
  <c r="R160" i="4" s="1"/>
  <c r="N161" i="4"/>
  <c r="R161" i="4" s="1"/>
  <c r="N162" i="4"/>
  <c r="R162" i="4" s="1"/>
  <c r="N163" i="4"/>
  <c r="R163" i="4" s="1"/>
  <c r="N164" i="4"/>
  <c r="R164" i="4" s="1"/>
  <c r="N165" i="4"/>
  <c r="R165" i="4" s="1"/>
  <c r="N166" i="4"/>
  <c r="R166" i="4" s="1"/>
  <c r="N167" i="4"/>
  <c r="R167" i="4" s="1"/>
  <c r="N168" i="4"/>
  <c r="R168" i="4" s="1"/>
  <c r="N169" i="4"/>
  <c r="R169" i="4" s="1"/>
  <c r="N170" i="4"/>
  <c r="R170" i="4" s="1"/>
  <c r="N171" i="4"/>
  <c r="R171" i="4" s="1"/>
  <c r="N172" i="4"/>
  <c r="R172" i="4" s="1"/>
  <c r="N173" i="4"/>
  <c r="R173" i="4" s="1"/>
  <c r="N174" i="4"/>
  <c r="R174" i="4" s="1"/>
  <c r="N175" i="4"/>
  <c r="R175" i="4" s="1"/>
  <c r="N176" i="4"/>
  <c r="R176" i="4" s="1"/>
  <c r="N177" i="4"/>
  <c r="R177" i="4" s="1"/>
  <c r="N178" i="4"/>
  <c r="R178" i="4" s="1"/>
  <c r="N179" i="4"/>
  <c r="R179" i="4" s="1"/>
  <c r="N180" i="4"/>
  <c r="R180" i="4" s="1"/>
  <c r="N181" i="4"/>
  <c r="R181" i="4" s="1"/>
  <c r="N182" i="4"/>
  <c r="R182" i="4" s="1"/>
  <c r="N183" i="4"/>
  <c r="R183" i="4" s="1"/>
  <c r="N184" i="4"/>
  <c r="R184" i="4" s="1"/>
  <c r="N185" i="4"/>
  <c r="R185" i="4" s="1"/>
  <c r="N186" i="4"/>
  <c r="R186" i="4" s="1"/>
  <c r="N187" i="4"/>
  <c r="R187" i="4" s="1"/>
  <c r="N188" i="4"/>
  <c r="R188" i="4" s="1"/>
  <c r="N189" i="4"/>
  <c r="R189" i="4" s="1"/>
  <c r="N190" i="4"/>
  <c r="R190" i="4" s="1"/>
  <c r="N191" i="4"/>
  <c r="R191" i="4" s="1"/>
  <c r="N192" i="4"/>
  <c r="R192" i="4" s="1"/>
  <c r="N193" i="4"/>
  <c r="R193" i="4" s="1"/>
  <c r="N194" i="4"/>
  <c r="R194" i="4" s="1"/>
  <c r="N195" i="4"/>
  <c r="R195" i="4" s="1"/>
  <c r="N196" i="4"/>
  <c r="R196" i="4" s="1"/>
  <c r="N197" i="4"/>
  <c r="R197" i="4" s="1"/>
  <c r="N198" i="4"/>
  <c r="R198" i="4" s="1"/>
  <c r="N199" i="4"/>
  <c r="R199" i="4" s="1"/>
  <c r="N200" i="4"/>
  <c r="R200" i="4" s="1"/>
  <c r="N201" i="4"/>
  <c r="R201" i="4" s="1"/>
  <c r="N202" i="4"/>
  <c r="R202" i="4" s="1"/>
  <c r="N203" i="4"/>
  <c r="R203" i="4" s="1"/>
  <c r="N204" i="4"/>
  <c r="R204" i="4" s="1"/>
  <c r="N205" i="4"/>
  <c r="R205" i="4" s="1"/>
  <c r="N206" i="4"/>
  <c r="R206" i="4" s="1"/>
  <c r="N207" i="4"/>
  <c r="R207" i="4" s="1"/>
  <c r="N208" i="4"/>
  <c r="R208" i="4" s="1"/>
  <c r="N209" i="4"/>
  <c r="R209" i="4" s="1"/>
  <c r="N210" i="4"/>
  <c r="R210" i="4" s="1"/>
  <c r="N211" i="4"/>
  <c r="R211" i="4" s="1"/>
  <c r="N212" i="4"/>
  <c r="R212" i="4" s="1"/>
  <c r="N213" i="4"/>
  <c r="R213" i="4" s="1"/>
  <c r="N214" i="4"/>
  <c r="R214" i="4" s="1"/>
  <c r="N215" i="4"/>
  <c r="R215" i="4" s="1"/>
  <c r="N216" i="4"/>
  <c r="R216" i="4" s="1"/>
  <c r="N217" i="4"/>
  <c r="R217" i="4" s="1"/>
  <c r="N218" i="4"/>
  <c r="R218" i="4" s="1"/>
  <c r="N219" i="4"/>
  <c r="R219" i="4" s="1"/>
  <c r="N220" i="4"/>
  <c r="R220" i="4" s="1"/>
  <c r="N221" i="4"/>
  <c r="R221" i="4" s="1"/>
  <c r="N222" i="4"/>
  <c r="R222" i="4" s="1"/>
  <c r="N223" i="4"/>
  <c r="R223" i="4" s="1"/>
  <c r="N224" i="4"/>
  <c r="R224" i="4" s="1"/>
  <c r="N225" i="4"/>
  <c r="R225" i="4" s="1"/>
  <c r="N226" i="4"/>
  <c r="R226" i="4" s="1"/>
  <c r="N227" i="4"/>
  <c r="R227" i="4" s="1"/>
  <c r="N228" i="4"/>
  <c r="R228" i="4" s="1"/>
  <c r="N229" i="4"/>
  <c r="R229" i="4" s="1"/>
  <c r="N230" i="4"/>
  <c r="R230" i="4" s="1"/>
  <c r="N231" i="4"/>
  <c r="R231" i="4" s="1"/>
  <c r="N232" i="4"/>
  <c r="R232" i="4" s="1"/>
  <c r="N233" i="4"/>
  <c r="R233" i="4" s="1"/>
  <c r="N234" i="4"/>
  <c r="R234" i="4" s="1"/>
  <c r="N235" i="4"/>
  <c r="R235" i="4" s="1"/>
  <c r="N236" i="4"/>
  <c r="R236" i="4" s="1"/>
  <c r="N237" i="4"/>
  <c r="R237" i="4" s="1"/>
  <c r="N238" i="4"/>
  <c r="R238" i="4" s="1"/>
  <c r="N239" i="4"/>
  <c r="R239" i="4" s="1"/>
  <c r="N240" i="4"/>
  <c r="R240" i="4" s="1"/>
  <c r="N241" i="4"/>
  <c r="R241" i="4" s="1"/>
  <c r="N242" i="4"/>
  <c r="R242" i="4" s="1"/>
  <c r="N243" i="4"/>
  <c r="R243" i="4" s="1"/>
  <c r="N244" i="4"/>
  <c r="R244" i="4" s="1"/>
  <c r="N245" i="4"/>
  <c r="R245" i="4" s="1"/>
  <c r="N246" i="4"/>
  <c r="R246" i="4" s="1"/>
  <c r="N247" i="4"/>
  <c r="R247" i="4" s="1"/>
  <c r="N248" i="4"/>
  <c r="R248" i="4" s="1"/>
  <c r="N249" i="4"/>
  <c r="R249" i="4" s="1"/>
  <c r="N250" i="4"/>
  <c r="R250" i="4" s="1"/>
  <c r="N251" i="4"/>
  <c r="R251" i="4" s="1"/>
  <c r="N252" i="4"/>
  <c r="R252" i="4" s="1"/>
  <c r="N253" i="4"/>
  <c r="R253" i="4" s="1"/>
  <c r="N254" i="4"/>
  <c r="R254" i="4" s="1"/>
  <c r="N255" i="4"/>
  <c r="R255" i="4" s="1"/>
  <c r="N256" i="4"/>
  <c r="R256" i="4" s="1"/>
  <c r="N257" i="4"/>
  <c r="R257" i="4" s="1"/>
  <c r="N258" i="4"/>
  <c r="R258" i="4" s="1"/>
  <c r="N259" i="4"/>
  <c r="R259" i="4" s="1"/>
  <c r="N260" i="4"/>
  <c r="R260" i="4" s="1"/>
  <c r="N261" i="4"/>
  <c r="R261" i="4" s="1"/>
  <c r="N262" i="4"/>
  <c r="R262" i="4" s="1"/>
  <c r="N263" i="4"/>
  <c r="R263" i="4" s="1"/>
  <c r="N264" i="4"/>
  <c r="R264" i="4" s="1"/>
  <c r="N265" i="4"/>
  <c r="R265" i="4" s="1"/>
  <c r="N266" i="4"/>
  <c r="R266" i="4" s="1"/>
  <c r="N267" i="4"/>
  <c r="R267" i="4" s="1"/>
  <c r="N268" i="4"/>
  <c r="R268" i="4" s="1"/>
  <c r="N269" i="4"/>
  <c r="R269" i="4" s="1"/>
  <c r="N270" i="4"/>
  <c r="R270" i="4" s="1"/>
  <c r="N271" i="4"/>
  <c r="R271" i="4" s="1"/>
  <c r="N272" i="4"/>
  <c r="R272" i="4" s="1"/>
  <c r="N273" i="4"/>
  <c r="R273" i="4" s="1"/>
  <c r="N274" i="4"/>
  <c r="R274" i="4" s="1"/>
  <c r="N275" i="4"/>
  <c r="R275" i="4" s="1"/>
  <c r="N276" i="4"/>
  <c r="R276" i="4" s="1"/>
  <c r="N277" i="4"/>
  <c r="R277" i="4" s="1"/>
  <c r="N278" i="4"/>
  <c r="R278" i="4" s="1"/>
  <c r="N279" i="4"/>
  <c r="R279" i="4" s="1"/>
  <c r="N280" i="4"/>
  <c r="R280" i="4" s="1"/>
  <c r="N281" i="4"/>
  <c r="R281" i="4" s="1"/>
  <c r="N282" i="4"/>
  <c r="R282" i="4" s="1"/>
  <c r="N283" i="4"/>
  <c r="R283" i="4" s="1"/>
  <c r="N284" i="4"/>
  <c r="R284" i="4" s="1"/>
  <c r="N285" i="4"/>
  <c r="R285" i="4" s="1"/>
  <c r="N286" i="4"/>
  <c r="R286" i="4" s="1"/>
  <c r="N287" i="4"/>
  <c r="R287" i="4" s="1"/>
  <c r="N288" i="4"/>
  <c r="R288" i="4" s="1"/>
  <c r="N289" i="4"/>
  <c r="R289" i="4" s="1"/>
  <c r="N290" i="4"/>
  <c r="R290" i="4" s="1"/>
  <c r="N291" i="4"/>
  <c r="R291" i="4" s="1"/>
  <c r="N292" i="4"/>
  <c r="R292" i="4" s="1"/>
  <c r="N293" i="4"/>
  <c r="R293" i="4" s="1"/>
  <c r="N294" i="4"/>
  <c r="R294" i="4" s="1"/>
  <c r="N295" i="4"/>
  <c r="R295" i="4" s="1"/>
  <c r="N296" i="4"/>
  <c r="R296" i="4" s="1"/>
  <c r="N297" i="4"/>
  <c r="R297" i="4" s="1"/>
  <c r="N298" i="4"/>
  <c r="R298" i="4" s="1"/>
  <c r="N299" i="4"/>
  <c r="R299" i="4" s="1"/>
  <c r="N300" i="4"/>
  <c r="R300" i="4" s="1"/>
  <c r="N301" i="4"/>
  <c r="R301" i="4" s="1"/>
  <c r="N302" i="4"/>
  <c r="R302" i="4" s="1"/>
  <c r="N303" i="4"/>
  <c r="R303" i="4" s="1"/>
  <c r="N304" i="4"/>
  <c r="R304" i="4" s="1"/>
  <c r="N305" i="4"/>
  <c r="R305" i="4" s="1"/>
  <c r="N306" i="4"/>
  <c r="R306" i="4" s="1"/>
  <c r="N307" i="4"/>
  <c r="R307" i="4" s="1"/>
  <c r="N308" i="4"/>
  <c r="R308" i="4" s="1"/>
  <c r="N309" i="4"/>
  <c r="R309" i="4" s="1"/>
  <c r="N310" i="4"/>
  <c r="R310" i="4" s="1"/>
  <c r="N311" i="4"/>
  <c r="R311" i="4" s="1"/>
  <c r="N312" i="4"/>
  <c r="R312" i="4" s="1"/>
  <c r="N313" i="4"/>
  <c r="R313" i="4" s="1"/>
  <c r="N314" i="4"/>
  <c r="R314" i="4" s="1"/>
  <c r="N315" i="4"/>
  <c r="R315" i="4" s="1"/>
  <c r="N316" i="4"/>
  <c r="R316" i="4" s="1"/>
  <c r="N317" i="4"/>
  <c r="R317" i="4" s="1"/>
  <c r="N318" i="4"/>
  <c r="R318" i="4" s="1"/>
  <c r="N319" i="4"/>
  <c r="R319" i="4" s="1"/>
  <c r="N320" i="4"/>
  <c r="R320" i="4" s="1"/>
  <c r="N321" i="4"/>
  <c r="R321" i="4" s="1"/>
  <c r="N322" i="4"/>
  <c r="R322" i="4" s="1"/>
  <c r="N323" i="4"/>
  <c r="R323" i="4" s="1"/>
  <c r="N324" i="4"/>
  <c r="R324" i="4" s="1"/>
  <c r="N325" i="4"/>
  <c r="R325" i="4" s="1"/>
  <c r="N326" i="4"/>
  <c r="R326" i="4" s="1"/>
  <c r="N327" i="4"/>
  <c r="R327" i="4" s="1"/>
  <c r="N328" i="4"/>
  <c r="R328" i="4" s="1"/>
  <c r="N329" i="4"/>
  <c r="R329" i="4" s="1"/>
  <c r="N330" i="4"/>
  <c r="R330" i="4" s="1"/>
  <c r="N331" i="4"/>
  <c r="R331" i="4" s="1"/>
  <c r="N332" i="4"/>
  <c r="R332" i="4" s="1"/>
  <c r="N333" i="4"/>
  <c r="R333" i="4" s="1"/>
  <c r="N334" i="4"/>
  <c r="R334" i="4" s="1"/>
  <c r="N335" i="4"/>
  <c r="R335" i="4" s="1"/>
  <c r="N336" i="4"/>
  <c r="R336" i="4" s="1"/>
  <c r="N337" i="4"/>
  <c r="R337" i="4" s="1"/>
  <c r="N338" i="4"/>
  <c r="R338" i="4" s="1"/>
  <c r="N339" i="4"/>
  <c r="R339" i="4" s="1"/>
  <c r="N340" i="4"/>
  <c r="R340" i="4" s="1"/>
  <c r="N341" i="4"/>
  <c r="R341" i="4" s="1"/>
  <c r="N342" i="4"/>
  <c r="R342" i="4" s="1"/>
  <c r="N343" i="4"/>
  <c r="R343" i="4" s="1"/>
  <c r="N344" i="4"/>
  <c r="R344" i="4" s="1"/>
  <c r="N345" i="4"/>
  <c r="R345" i="4" s="1"/>
  <c r="N346" i="4"/>
  <c r="R346" i="4" s="1"/>
  <c r="N347" i="4"/>
  <c r="R347" i="4" s="1"/>
  <c r="N348" i="4"/>
  <c r="R348" i="4" s="1"/>
  <c r="N349" i="4"/>
  <c r="R349" i="4" s="1"/>
  <c r="N350" i="4"/>
  <c r="R350" i="4" s="1"/>
  <c r="N351" i="4"/>
  <c r="R351" i="4" s="1"/>
  <c r="N352" i="4"/>
  <c r="R352" i="4" s="1"/>
  <c r="N353" i="4"/>
  <c r="R353" i="4" s="1"/>
  <c r="N354" i="4"/>
  <c r="R354" i="4" s="1"/>
  <c r="N355" i="4"/>
  <c r="R355" i="4" s="1"/>
  <c r="N356" i="4"/>
  <c r="R356" i="4" s="1"/>
  <c r="N357" i="4"/>
  <c r="R357" i="4" s="1"/>
  <c r="N358" i="4"/>
  <c r="R358" i="4" s="1"/>
  <c r="N359" i="4"/>
  <c r="R359" i="4" s="1"/>
  <c r="N360" i="4"/>
  <c r="R360" i="4" s="1"/>
  <c r="N361" i="4"/>
  <c r="R361" i="4" s="1"/>
  <c r="N362" i="4"/>
  <c r="R362" i="4" s="1"/>
  <c r="N363" i="4"/>
  <c r="R363" i="4" s="1"/>
  <c r="N364" i="4"/>
  <c r="R364" i="4" s="1"/>
  <c r="N365" i="4"/>
  <c r="R365" i="4" s="1"/>
  <c r="N366" i="4"/>
  <c r="R366" i="4" s="1"/>
  <c r="N367" i="4"/>
  <c r="R367" i="4" s="1"/>
  <c r="N368" i="4"/>
  <c r="R368" i="4" s="1"/>
  <c r="N369" i="4"/>
  <c r="R369" i="4" s="1"/>
  <c r="N370" i="4"/>
  <c r="R370" i="4" s="1"/>
  <c r="N371" i="4"/>
  <c r="R371" i="4" s="1"/>
  <c r="N372" i="4"/>
  <c r="R372" i="4" s="1"/>
  <c r="N373" i="4"/>
  <c r="R373" i="4" s="1"/>
  <c r="N374" i="4"/>
  <c r="R374" i="4" s="1"/>
  <c r="N375" i="4"/>
  <c r="R375" i="4" s="1"/>
  <c r="N376" i="4"/>
  <c r="R376" i="4" s="1"/>
  <c r="N377" i="4"/>
  <c r="R377" i="4" s="1"/>
  <c r="N378" i="4"/>
  <c r="R378" i="4" s="1"/>
  <c r="N379" i="4"/>
  <c r="R379" i="4" s="1"/>
  <c r="N380" i="4"/>
  <c r="R380" i="4" s="1"/>
  <c r="N381" i="4"/>
  <c r="R381" i="4" s="1"/>
  <c r="N382" i="4"/>
  <c r="R382" i="4" s="1"/>
  <c r="N383" i="4"/>
  <c r="R383" i="4" s="1"/>
  <c r="N384" i="4"/>
  <c r="R384" i="4" s="1"/>
  <c r="N385" i="4"/>
  <c r="R385" i="4" s="1"/>
  <c r="N386" i="4"/>
  <c r="R386" i="4" s="1"/>
  <c r="N387" i="4"/>
  <c r="R387" i="4" s="1"/>
  <c r="N388" i="4"/>
  <c r="R388" i="4" s="1"/>
  <c r="N389" i="4"/>
  <c r="R389" i="4" s="1"/>
  <c r="N390" i="4"/>
  <c r="R390" i="4" s="1"/>
  <c r="N391" i="4"/>
  <c r="R391" i="4" s="1"/>
  <c r="N392" i="4"/>
  <c r="R392" i="4" s="1"/>
  <c r="N393" i="4"/>
  <c r="R393" i="4" s="1"/>
  <c r="N394" i="4"/>
  <c r="R394" i="4" s="1"/>
  <c r="N395" i="4"/>
  <c r="R395" i="4" s="1"/>
  <c r="N396" i="4"/>
  <c r="R396" i="4" s="1"/>
  <c r="N397" i="4"/>
  <c r="R397" i="4" s="1"/>
  <c r="N398" i="4"/>
  <c r="R398" i="4" s="1"/>
  <c r="N399" i="4"/>
  <c r="R399" i="4" s="1"/>
  <c r="N400" i="4"/>
  <c r="R400" i="4" s="1"/>
  <c r="N401" i="4"/>
  <c r="R401" i="4" s="1"/>
  <c r="N402" i="4"/>
  <c r="R402" i="4" s="1"/>
  <c r="N403" i="4"/>
  <c r="R403" i="4" s="1"/>
  <c r="N404" i="4"/>
  <c r="R404" i="4" s="1"/>
  <c r="N405" i="4"/>
  <c r="R405" i="4" s="1"/>
  <c r="N406" i="4"/>
  <c r="R406" i="4" s="1"/>
  <c r="N407" i="4"/>
  <c r="R407" i="4" s="1"/>
  <c r="N408" i="4"/>
  <c r="R408" i="4" s="1"/>
  <c r="N409" i="4"/>
  <c r="R409" i="4" s="1"/>
  <c r="N410" i="4"/>
  <c r="R410" i="4" s="1"/>
  <c r="N411" i="4"/>
  <c r="R411" i="4" s="1"/>
  <c r="N412" i="4"/>
  <c r="R412" i="4" s="1"/>
  <c r="N413" i="4"/>
  <c r="R413" i="4" s="1"/>
  <c r="N414" i="4"/>
  <c r="R414" i="4" s="1"/>
  <c r="N415" i="4"/>
  <c r="R415" i="4" s="1"/>
  <c r="N416" i="4"/>
  <c r="R416" i="4" s="1"/>
  <c r="N417" i="4"/>
  <c r="R417" i="4" s="1"/>
  <c r="N418" i="4"/>
  <c r="R418" i="4" s="1"/>
  <c r="N419" i="4"/>
  <c r="R419" i="4" s="1"/>
  <c r="N420" i="4"/>
  <c r="R420" i="4" s="1"/>
  <c r="N421" i="4"/>
  <c r="R421" i="4" s="1"/>
  <c r="N422" i="4"/>
  <c r="R422" i="4" s="1"/>
  <c r="N423" i="4"/>
  <c r="R423" i="4" s="1"/>
  <c r="N424" i="4"/>
  <c r="R424" i="4" s="1"/>
  <c r="N425" i="4"/>
  <c r="R425" i="4" s="1"/>
  <c r="N426" i="4"/>
  <c r="R426" i="4" s="1"/>
  <c r="N427" i="4"/>
  <c r="R427" i="4" s="1"/>
  <c r="N428" i="4"/>
  <c r="R428" i="4" s="1"/>
  <c r="N429" i="4"/>
  <c r="R429" i="4" s="1"/>
  <c r="N430" i="4"/>
  <c r="R430" i="4" s="1"/>
  <c r="N431" i="4"/>
  <c r="R431" i="4" s="1"/>
  <c r="N432" i="4"/>
  <c r="R432" i="4" s="1"/>
  <c r="N433" i="4"/>
  <c r="R433" i="4" s="1"/>
  <c r="N434" i="4"/>
  <c r="R434" i="4" s="1"/>
  <c r="N435" i="4"/>
  <c r="R435" i="4" s="1"/>
  <c r="N436" i="4"/>
  <c r="R436" i="4" s="1"/>
  <c r="N437" i="4"/>
  <c r="R437" i="4" s="1"/>
  <c r="N438" i="4"/>
  <c r="R438" i="4" s="1"/>
  <c r="N439" i="4"/>
  <c r="R439" i="4" s="1"/>
  <c r="N440" i="4"/>
  <c r="R440" i="4" s="1"/>
  <c r="N441" i="4"/>
  <c r="R441" i="4" s="1"/>
  <c r="N442" i="4"/>
  <c r="R442" i="4" s="1"/>
  <c r="N443" i="4"/>
  <c r="R443" i="4" s="1"/>
  <c r="N444" i="4"/>
  <c r="R444" i="4" s="1"/>
  <c r="N445" i="4"/>
  <c r="R445" i="4" s="1"/>
  <c r="N446" i="4"/>
  <c r="R446" i="4" s="1"/>
  <c r="N447" i="4"/>
  <c r="R447" i="4" s="1"/>
  <c r="N448" i="4"/>
  <c r="R448" i="4" s="1"/>
  <c r="N449" i="4"/>
  <c r="R449" i="4" s="1"/>
  <c r="N450" i="4"/>
  <c r="R450" i="4" s="1"/>
  <c r="N451" i="4"/>
  <c r="R451" i="4" s="1"/>
  <c r="N452" i="4"/>
  <c r="R452" i="4" s="1"/>
  <c r="N453" i="4"/>
  <c r="R453" i="4" s="1"/>
  <c r="N454" i="4"/>
  <c r="R454" i="4" s="1"/>
  <c r="N455" i="4"/>
  <c r="R455" i="4" s="1"/>
  <c r="N456" i="4"/>
  <c r="R456" i="4" s="1"/>
  <c r="N457" i="4"/>
  <c r="R457" i="4" s="1"/>
  <c r="N458" i="4"/>
  <c r="R458" i="4" s="1"/>
  <c r="N459" i="4"/>
  <c r="R459" i="4" s="1"/>
  <c r="N460" i="4"/>
  <c r="R460" i="4" s="1"/>
  <c r="N461" i="4"/>
  <c r="R461" i="4" s="1"/>
  <c r="N462" i="4"/>
  <c r="R462" i="4" s="1"/>
  <c r="N463" i="4"/>
  <c r="R463" i="4" s="1"/>
  <c r="N464" i="4"/>
  <c r="R464" i="4" s="1"/>
  <c r="N465" i="4"/>
  <c r="R465" i="4" s="1"/>
  <c r="N466" i="4"/>
  <c r="R466" i="4" s="1"/>
  <c r="N467" i="4"/>
  <c r="R467" i="4" s="1"/>
  <c r="N468" i="4"/>
  <c r="R468" i="4" s="1"/>
  <c r="N469" i="4"/>
  <c r="R469" i="4" s="1"/>
  <c r="N470" i="4"/>
  <c r="R470" i="4" s="1"/>
  <c r="N471" i="4"/>
  <c r="R471" i="4" s="1"/>
  <c r="N472" i="4"/>
  <c r="R472" i="4" s="1"/>
  <c r="N473" i="4"/>
  <c r="R473" i="4" s="1"/>
  <c r="N474" i="4"/>
  <c r="R474" i="4" s="1"/>
  <c r="N475" i="4"/>
  <c r="R475" i="4" s="1"/>
  <c r="N476" i="4"/>
  <c r="R476" i="4" s="1"/>
  <c r="N477" i="4"/>
  <c r="R477" i="4" s="1"/>
  <c r="N478" i="4"/>
  <c r="R478" i="4" s="1"/>
  <c r="N479" i="4"/>
  <c r="R479" i="4" s="1"/>
  <c r="N480" i="4"/>
  <c r="R480" i="4" s="1"/>
  <c r="N481" i="4"/>
  <c r="R481" i="4" s="1"/>
  <c r="N482" i="4"/>
  <c r="R482" i="4" s="1"/>
  <c r="N483" i="4"/>
  <c r="R483" i="4" s="1"/>
  <c r="N484" i="4"/>
  <c r="R484" i="4" s="1"/>
  <c r="N485" i="4"/>
  <c r="R485" i="4" s="1"/>
  <c r="N486" i="4"/>
  <c r="R486" i="4" s="1"/>
  <c r="N487" i="4"/>
  <c r="R487" i="4" s="1"/>
  <c r="N488" i="4"/>
  <c r="R488" i="4" s="1"/>
  <c r="N489" i="4"/>
  <c r="R489" i="4" s="1"/>
  <c r="N490" i="4"/>
  <c r="R490" i="4" s="1"/>
  <c r="N491" i="4"/>
  <c r="R491" i="4" s="1"/>
  <c r="N492" i="4"/>
  <c r="R492" i="4" s="1"/>
  <c r="N493" i="4"/>
  <c r="R493" i="4" s="1"/>
  <c r="N494" i="4"/>
  <c r="R494" i="4" s="1"/>
  <c r="N495" i="4"/>
  <c r="R495" i="4" s="1"/>
  <c r="N496" i="4"/>
  <c r="R496" i="4" s="1"/>
  <c r="N497" i="4"/>
  <c r="R497" i="4" s="1"/>
  <c r="N498" i="4"/>
  <c r="R498" i="4" s="1"/>
  <c r="N499" i="4"/>
  <c r="R499" i="4" s="1"/>
  <c r="N500" i="4"/>
  <c r="R500" i="4" s="1"/>
  <c r="N501" i="4"/>
  <c r="R501" i="4" s="1"/>
  <c r="N502" i="4"/>
  <c r="R502" i="4" s="1"/>
  <c r="N503" i="4"/>
  <c r="R503" i="4" s="1"/>
  <c r="N504" i="4"/>
  <c r="R504" i="4" s="1"/>
  <c r="N505" i="4"/>
  <c r="R505" i="4" s="1"/>
  <c r="N506" i="4"/>
  <c r="R506" i="4" s="1"/>
  <c r="N507" i="4"/>
  <c r="R507" i="4" s="1"/>
  <c r="N508" i="4"/>
  <c r="R508" i="4" s="1"/>
  <c r="L2" i="4"/>
  <c r="M2" i="4" s="1"/>
  <c r="L3" i="4"/>
  <c r="M3" i="4" s="1"/>
  <c r="L4" i="4"/>
  <c r="M4" i="4" s="1"/>
  <c r="L5" i="4"/>
  <c r="M5" i="4" s="1"/>
  <c r="L6" i="4"/>
  <c r="M6" i="4" s="1"/>
  <c r="L7" i="4"/>
  <c r="M7" i="4" s="1"/>
  <c r="L8" i="4"/>
  <c r="M8" i="4" s="1"/>
  <c r="L9" i="4"/>
  <c r="M9" i="4" s="1"/>
  <c r="L10" i="4"/>
  <c r="L11" i="4"/>
  <c r="L12" i="4"/>
  <c r="M12" i="4" s="1"/>
  <c r="L13" i="4"/>
  <c r="M13" i="4" s="1"/>
  <c r="L14" i="4"/>
  <c r="M14" i="4" s="1"/>
  <c r="L15" i="4"/>
  <c r="M15" i="4" s="1"/>
  <c r="L16" i="4"/>
  <c r="M16" i="4" s="1"/>
  <c r="L17" i="4"/>
  <c r="M17" i="4" s="1"/>
  <c r="L18" i="4"/>
  <c r="M18" i="4" s="1"/>
  <c r="L19" i="4"/>
  <c r="M19" i="4" s="1"/>
  <c r="L20" i="4"/>
  <c r="M20" i="4" s="1"/>
  <c r="L21" i="4"/>
  <c r="M21" i="4" s="1"/>
  <c r="L22" i="4"/>
  <c r="L23" i="4"/>
  <c r="L24" i="4"/>
  <c r="M24" i="4" s="1"/>
  <c r="L25" i="4"/>
  <c r="M25" i="4" s="1"/>
  <c r="L26" i="4"/>
  <c r="M26" i="4" s="1"/>
  <c r="L27" i="4"/>
  <c r="M27" i="4" s="1"/>
  <c r="L28" i="4"/>
  <c r="M28" i="4" s="1"/>
  <c r="L29" i="4"/>
  <c r="M29" i="4" s="1"/>
  <c r="L30" i="4"/>
  <c r="M30" i="4" s="1"/>
  <c r="L31" i="4"/>
  <c r="M31" i="4" s="1"/>
  <c r="L32" i="4"/>
  <c r="M32" i="4" s="1"/>
  <c r="L33" i="4"/>
  <c r="M33" i="4" s="1"/>
  <c r="L34" i="4"/>
  <c r="L35" i="4"/>
  <c r="L36" i="4"/>
  <c r="M36" i="4" s="1"/>
  <c r="L37" i="4"/>
  <c r="M37" i="4" s="1"/>
  <c r="L38" i="4"/>
  <c r="M38" i="4" s="1"/>
  <c r="L39" i="4"/>
  <c r="M39" i="4" s="1"/>
  <c r="L40" i="4"/>
  <c r="M40" i="4" s="1"/>
  <c r="L41" i="4"/>
  <c r="M41" i="4" s="1"/>
  <c r="L42" i="4"/>
  <c r="M42" i="4" s="1"/>
  <c r="L43" i="4"/>
  <c r="M43" i="4" s="1"/>
  <c r="L44" i="4"/>
  <c r="M44" i="4" s="1"/>
  <c r="L45" i="4"/>
  <c r="M45" i="4" s="1"/>
  <c r="L46" i="4"/>
  <c r="L47" i="4"/>
  <c r="L48" i="4"/>
  <c r="M48" i="4" s="1"/>
  <c r="L49" i="4"/>
  <c r="M49" i="4" s="1"/>
  <c r="L50" i="4"/>
  <c r="M50" i="4" s="1"/>
  <c r="L51" i="4"/>
  <c r="M51" i="4" s="1"/>
  <c r="L52" i="4"/>
  <c r="M52" i="4" s="1"/>
  <c r="L53" i="4"/>
  <c r="M53" i="4" s="1"/>
  <c r="L54" i="4"/>
  <c r="M54" i="4" s="1"/>
  <c r="L55" i="4"/>
  <c r="M55" i="4" s="1"/>
  <c r="L56" i="4"/>
  <c r="M56" i="4" s="1"/>
  <c r="L57" i="4"/>
  <c r="M57" i="4" s="1"/>
  <c r="L58" i="4"/>
  <c r="L59" i="4"/>
  <c r="M59" i="4" s="1"/>
  <c r="L60" i="4"/>
  <c r="M60" i="4" s="1"/>
  <c r="L61" i="4"/>
  <c r="M61" i="4" s="1"/>
  <c r="L62" i="4"/>
  <c r="M62" i="4" s="1"/>
  <c r="L63" i="4"/>
  <c r="M63" i="4" s="1"/>
  <c r="L64" i="4"/>
  <c r="M64" i="4" s="1"/>
  <c r="L65" i="4"/>
  <c r="M65" i="4" s="1"/>
  <c r="L66" i="4"/>
  <c r="M66" i="4" s="1"/>
  <c r="L67" i="4"/>
  <c r="M67" i="4" s="1"/>
  <c r="L68" i="4"/>
  <c r="M68" i="4" s="1"/>
  <c r="L69" i="4"/>
  <c r="M69" i="4" s="1"/>
  <c r="L70" i="4"/>
  <c r="L71" i="4"/>
  <c r="M71" i="4" s="1"/>
  <c r="L72" i="4"/>
  <c r="M72" i="4" s="1"/>
  <c r="L73" i="4"/>
  <c r="M73" i="4" s="1"/>
  <c r="L74" i="4"/>
  <c r="M74" i="4" s="1"/>
  <c r="L75" i="4"/>
  <c r="M75" i="4" s="1"/>
  <c r="L76" i="4"/>
  <c r="M76" i="4" s="1"/>
  <c r="L77" i="4"/>
  <c r="M77" i="4" s="1"/>
  <c r="L78" i="4"/>
  <c r="M78" i="4" s="1"/>
  <c r="L79" i="4"/>
  <c r="M79" i="4" s="1"/>
  <c r="L80" i="4"/>
  <c r="M80" i="4" s="1"/>
  <c r="L81" i="4"/>
  <c r="M81" i="4" s="1"/>
  <c r="L82" i="4"/>
  <c r="L83" i="4"/>
  <c r="L84" i="4"/>
  <c r="M84" i="4" s="1"/>
  <c r="L85" i="4"/>
  <c r="M85" i="4" s="1"/>
  <c r="L86" i="4"/>
  <c r="M86" i="4" s="1"/>
  <c r="L87" i="4"/>
  <c r="M87" i="4" s="1"/>
  <c r="L88" i="4"/>
  <c r="M88" i="4" s="1"/>
  <c r="L89" i="4"/>
  <c r="M89" i="4" s="1"/>
  <c r="L90" i="4"/>
  <c r="M90" i="4" s="1"/>
  <c r="L91" i="4"/>
  <c r="M91" i="4" s="1"/>
  <c r="L92" i="4"/>
  <c r="M92" i="4" s="1"/>
  <c r="L93" i="4"/>
  <c r="M93" i="4" s="1"/>
  <c r="L94" i="4"/>
  <c r="L95" i="4"/>
  <c r="L96" i="4"/>
  <c r="M96" i="4" s="1"/>
  <c r="L97" i="4"/>
  <c r="M97" i="4" s="1"/>
  <c r="L98" i="4"/>
  <c r="M98" i="4" s="1"/>
  <c r="L99" i="4"/>
  <c r="M99" i="4" s="1"/>
  <c r="L100" i="4"/>
  <c r="M100" i="4" s="1"/>
  <c r="L101" i="4"/>
  <c r="M101" i="4" s="1"/>
  <c r="L102" i="4"/>
  <c r="M102" i="4" s="1"/>
  <c r="L103" i="4"/>
  <c r="M103" i="4" s="1"/>
  <c r="L104" i="4"/>
  <c r="M104" i="4" s="1"/>
  <c r="L105" i="4"/>
  <c r="M105" i="4" s="1"/>
  <c r="L106" i="4"/>
  <c r="L107" i="4"/>
  <c r="L108" i="4"/>
  <c r="M108" i="4" s="1"/>
  <c r="L109" i="4"/>
  <c r="M109" i="4" s="1"/>
  <c r="L110" i="4"/>
  <c r="M110" i="4" s="1"/>
  <c r="L111" i="4"/>
  <c r="M111" i="4" s="1"/>
  <c r="L112" i="4"/>
  <c r="M112" i="4" s="1"/>
  <c r="L113" i="4"/>
  <c r="M113" i="4" s="1"/>
  <c r="L114" i="4"/>
  <c r="M114" i="4" s="1"/>
  <c r="L115" i="4"/>
  <c r="M115" i="4" s="1"/>
  <c r="L116" i="4"/>
  <c r="M116" i="4" s="1"/>
  <c r="L117" i="4"/>
  <c r="M117" i="4" s="1"/>
  <c r="L118" i="4"/>
  <c r="L119" i="4"/>
  <c r="L120" i="4"/>
  <c r="M120" i="4" s="1"/>
  <c r="L121" i="4"/>
  <c r="M121" i="4" s="1"/>
  <c r="L122" i="4"/>
  <c r="M122" i="4" s="1"/>
  <c r="L123" i="4"/>
  <c r="M123" i="4" s="1"/>
  <c r="L124" i="4"/>
  <c r="M124" i="4" s="1"/>
  <c r="L125" i="4"/>
  <c r="M125" i="4" s="1"/>
  <c r="L126" i="4"/>
  <c r="M126" i="4" s="1"/>
  <c r="L127" i="4"/>
  <c r="M127" i="4" s="1"/>
  <c r="L128" i="4"/>
  <c r="M128" i="4" s="1"/>
  <c r="L129" i="4"/>
  <c r="M129" i="4" s="1"/>
  <c r="L130" i="4"/>
  <c r="L131" i="4"/>
  <c r="L132" i="4"/>
  <c r="M132" i="4" s="1"/>
  <c r="L133" i="4"/>
  <c r="M133" i="4" s="1"/>
  <c r="L134" i="4"/>
  <c r="M134" i="4" s="1"/>
  <c r="L135" i="4"/>
  <c r="M135" i="4" s="1"/>
  <c r="L136" i="4"/>
  <c r="M136" i="4" s="1"/>
  <c r="L137" i="4"/>
  <c r="M137" i="4" s="1"/>
  <c r="L138" i="4"/>
  <c r="M138" i="4" s="1"/>
  <c r="L139" i="4"/>
  <c r="M139" i="4" s="1"/>
  <c r="L140" i="4"/>
  <c r="M140" i="4" s="1"/>
  <c r="L141" i="4"/>
  <c r="M141" i="4" s="1"/>
  <c r="L142" i="4"/>
  <c r="L143" i="4"/>
  <c r="L144" i="4"/>
  <c r="M144" i="4" s="1"/>
  <c r="L145" i="4"/>
  <c r="M145" i="4" s="1"/>
  <c r="L146" i="4"/>
  <c r="M146" i="4" s="1"/>
  <c r="L147" i="4"/>
  <c r="M147" i="4" s="1"/>
  <c r="L148" i="4"/>
  <c r="M148" i="4" s="1"/>
  <c r="L149" i="4"/>
  <c r="M149" i="4" s="1"/>
  <c r="L150" i="4"/>
  <c r="M150" i="4" s="1"/>
  <c r="L151" i="4"/>
  <c r="M151" i="4" s="1"/>
  <c r="L152" i="4"/>
  <c r="M152" i="4" s="1"/>
  <c r="L153" i="4"/>
  <c r="M153" i="4" s="1"/>
  <c r="L154" i="4"/>
  <c r="L155" i="4"/>
  <c r="L156" i="4"/>
  <c r="M156" i="4" s="1"/>
  <c r="L157" i="4"/>
  <c r="M157" i="4" s="1"/>
  <c r="L158" i="4"/>
  <c r="M158" i="4" s="1"/>
  <c r="L159" i="4"/>
  <c r="M159" i="4" s="1"/>
  <c r="L160" i="4"/>
  <c r="M160" i="4" s="1"/>
  <c r="L161" i="4"/>
  <c r="M161" i="4" s="1"/>
  <c r="L162" i="4"/>
  <c r="M162" i="4" s="1"/>
  <c r="L163" i="4"/>
  <c r="M163" i="4" s="1"/>
  <c r="L164" i="4"/>
  <c r="M164" i="4" s="1"/>
  <c r="L165" i="4"/>
  <c r="M165" i="4" s="1"/>
  <c r="L166" i="4"/>
  <c r="L167" i="4"/>
  <c r="M167" i="4" s="1"/>
  <c r="L168" i="4"/>
  <c r="M168" i="4" s="1"/>
  <c r="L169" i="4"/>
  <c r="M169" i="4" s="1"/>
  <c r="L170" i="4"/>
  <c r="M170" i="4" s="1"/>
  <c r="L171" i="4"/>
  <c r="M171" i="4" s="1"/>
  <c r="L172" i="4"/>
  <c r="M172" i="4" s="1"/>
  <c r="L173" i="4"/>
  <c r="M173" i="4" s="1"/>
  <c r="L174" i="4"/>
  <c r="M174" i="4" s="1"/>
  <c r="L175" i="4"/>
  <c r="M175" i="4" s="1"/>
  <c r="L176" i="4"/>
  <c r="M176" i="4" s="1"/>
  <c r="L177" i="4"/>
  <c r="M177" i="4" s="1"/>
  <c r="L178" i="4"/>
  <c r="L179" i="4"/>
  <c r="M179" i="4" s="1"/>
  <c r="L180" i="4"/>
  <c r="M180" i="4" s="1"/>
  <c r="L181" i="4"/>
  <c r="M181" i="4" s="1"/>
  <c r="L182" i="4"/>
  <c r="M182" i="4" s="1"/>
  <c r="L183" i="4"/>
  <c r="M183" i="4" s="1"/>
  <c r="L184" i="4"/>
  <c r="M184" i="4" s="1"/>
  <c r="L185" i="4"/>
  <c r="M185" i="4" s="1"/>
  <c r="L186" i="4"/>
  <c r="M186" i="4" s="1"/>
  <c r="L187" i="4"/>
  <c r="M187" i="4" s="1"/>
  <c r="L188" i="4"/>
  <c r="M188" i="4" s="1"/>
  <c r="L189" i="4"/>
  <c r="M189" i="4" s="1"/>
  <c r="L190" i="4"/>
  <c r="L191" i="4"/>
  <c r="M191" i="4" s="1"/>
  <c r="L192" i="4"/>
  <c r="M192" i="4" s="1"/>
  <c r="L193" i="4"/>
  <c r="M193" i="4" s="1"/>
  <c r="L194" i="4"/>
  <c r="M194" i="4" s="1"/>
  <c r="L195" i="4"/>
  <c r="M195" i="4" s="1"/>
  <c r="L196" i="4"/>
  <c r="M196" i="4" s="1"/>
  <c r="L197" i="4"/>
  <c r="M197" i="4" s="1"/>
  <c r="L198" i="4"/>
  <c r="M198" i="4" s="1"/>
  <c r="L199" i="4"/>
  <c r="M199" i="4" s="1"/>
  <c r="L200" i="4"/>
  <c r="M200" i="4" s="1"/>
  <c r="L201" i="4"/>
  <c r="M201" i="4" s="1"/>
  <c r="L202" i="4"/>
  <c r="L203" i="4"/>
  <c r="M203" i="4" s="1"/>
  <c r="L204" i="4"/>
  <c r="M204" i="4" s="1"/>
  <c r="L205" i="4"/>
  <c r="M205" i="4" s="1"/>
  <c r="L206" i="4"/>
  <c r="M206" i="4" s="1"/>
  <c r="L207" i="4"/>
  <c r="M207" i="4" s="1"/>
  <c r="L208" i="4"/>
  <c r="M208" i="4" s="1"/>
  <c r="L209" i="4"/>
  <c r="M209" i="4" s="1"/>
  <c r="L210" i="4"/>
  <c r="M210" i="4" s="1"/>
  <c r="L211" i="4"/>
  <c r="M211" i="4" s="1"/>
  <c r="L212" i="4"/>
  <c r="M212" i="4" s="1"/>
  <c r="L213" i="4"/>
  <c r="M213" i="4" s="1"/>
  <c r="L214" i="4"/>
  <c r="L215" i="4"/>
  <c r="M215" i="4" s="1"/>
  <c r="L216" i="4"/>
  <c r="M216" i="4" s="1"/>
  <c r="L217" i="4"/>
  <c r="M217" i="4" s="1"/>
  <c r="L218" i="4"/>
  <c r="M218" i="4" s="1"/>
  <c r="L219" i="4"/>
  <c r="M219" i="4" s="1"/>
  <c r="L220" i="4"/>
  <c r="M220" i="4" s="1"/>
  <c r="L221" i="4"/>
  <c r="M221" i="4" s="1"/>
  <c r="L222" i="4"/>
  <c r="M222" i="4" s="1"/>
  <c r="L223" i="4"/>
  <c r="M223" i="4" s="1"/>
  <c r="L224" i="4"/>
  <c r="M224" i="4" s="1"/>
  <c r="L225" i="4"/>
  <c r="M225" i="4" s="1"/>
  <c r="L226" i="4"/>
  <c r="L227" i="4"/>
  <c r="M227" i="4" s="1"/>
  <c r="L228" i="4"/>
  <c r="M228" i="4" s="1"/>
  <c r="L229" i="4"/>
  <c r="M229" i="4" s="1"/>
  <c r="L230" i="4"/>
  <c r="M230" i="4" s="1"/>
  <c r="L231" i="4"/>
  <c r="M231" i="4" s="1"/>
  <c r="L232" i="4"/>
  <c r="M232" i="4" s="1"/>
  <c r="L233" i="4"/>
  <c r="M233" i="4" s="1"/>
  <c r="L234" i="4"/>
  <c r="M234" i="4" s="1"/>
  <c r="L235" i="4"/>
  <c r="M235" i="4" s="1"/>
  <c r="L236" i="4"/>
  <c r="M236" i="4" s="1"/>
  <c r="L237" i="4"/>
  <c r="M237" i="4" s="1"/>
  <c r="L238" i="4"/>
  <c r="L239" i="4"/>
  <c r="M239" i="4" s="1"/>
  <c r="L240" i="4"/>
  <c r="M240" i="4" s="1"/>
  <c r="L241" i="4"/>
  <c r="M241" i="4" s="1"/>
  <c r="L242" i="4"/>
  <c r="M242" i="4" s="1"/>
  <c r="L243" i="4"/>
  <c r="M243" i="4" s="1"/>
  <c r="L244" i="4"/>
  <c r="M244" i="4" s="1"/>
  <c r="L245" i="4"/>
  <c r="M245" i="4" s="1"/>
  <c r="L246" i="4"/>
  <c r="M246" i="4" s="1"/>
  <c r="L247" i="4"/>
  <c r="M247" i="4" s="1"/>
  <c r="L248" i="4"/>
  <c r="M248" i="4" s="1"/>
  <c r="L249" i="4"/>
  <c r="M249" i="4" s="1"/>
  <c r="L250" i="4"/>
  <c r="L251" i="4"/>
  <c r="M251" i="4" s="1"/>
  <c r="L252" i="4"/>
  <c r="M252" i="4" s="1"/>
  <c r="L253" i="4"/>
  <c r="M253" i="4" s="1"/>
  <c r="L254" i="4"/>
  <c r="M254" i="4" s="1"/>
  <c r="L255" i="4"/>
  <c r="M255" i="4" s="1"/>
  <c r="L256" i="4"/>
  <c r="M256" i="4" s="1"/>
  <c r="L257" i="4"/>
  <c r="M257" i="4" s="1"/>
  <c r="L258" i="4"/>
  <c r="M258" i="4" s="1"/>
  <c r="L259" i="4"/>
  <c r="M259" i="4" s="1"/>
  <c r="L260" i="4"/>
  <c r="M260" i="4" s="1"/>
  <c r="L261" i="4"/>
  <c r="M261" i="4" s="1"/>
  <c r="L262" i="4"/>
  <c r="L263" i="4"/>
  <c r="M263" i="4" s="1"/>
  <c r="L264" i="4"/>
  <c r="M264" i="4" s="1"/>
  <c r="L265" i="4"/>
  <c r="M265" i="4" s="1"/>
  <c r="L266" i="4"/>
  <c r="M266" i="4" s="1"/>
  <c r="L267" i="4"/>
  <c r="M267" i="4" s="1"/>
  <c r="L268" i="4"/>
  <c r="M268" i="4" s="1"/>
  <c r="L269" i="4"/>
  <c r="M269" i="4" s="1"/>
  <c r="L270" i="4"/>
  <c r="M270" i="4" s="1"/>
  <c r="L271" i="4"/>
  <c r="M271" i="4" s="1"/>
  <c r="L272" i="4"/>
  <c r="M272" i="4" s="1"/>
  <c r="L273" i="4"/>
  <c r="M273" i="4" s="1"/>
  <c r="L274" i="4"/>
  <c r="L275" i="4"/>
  <c r="M275" i="4" s="1"/>
  <c r="L276" i="4"/>
  <c r="M276" i="4" s="1"/>
  <c r="L277" i="4"/>
  <c r="M277" i="4" s="1"/>
  <c r="L278" i="4"/>
  <c r="M278" i="4" s="1"/>
  <c r="L279" i="4"/>
  <c r="M279" i="4" s="1"/>
  <c r="L280" i="4"/>
  <c r="M280" i="4" s="1"/>
  <c r="L281" i="4"/>
  <c r="M281" i="4" s="1"/>
  <c r="L282" i="4"/>
  <c r="M282" i="4" s="1"/>
  <c r="L283" i="4"/>
  <c r="M283" i="4" s="1"/>
  <c r="L284" i="4"/>
  <c r="M284" i="4" s="1"/>
  <c r="L285" i="4"/>
  <c r="M285" i="4" s="1"/>
  <c r="L286" i="4"/>
  <c r="L287" i="4"/>
  <c r="M287" i="4" s="1"/>
  <c r="L288" i="4"/>
  <c r="M288" i="4" s="1"/>
  <c r="L289" i="4"/>
  <c r="M289" i="4" s="1"/>
  <c r="L290" i="4"/>
  <c r="M290" i="4" s="1"/>
  <c r="L291" i="4"/>
  <c r="M291" i="4" s="1"/>
  <c r="L292" i="4"/>
  <c r="M292" i="4" s="1"/>
  <c r="L293" i="4"/>
  <c r="M293" i="4" s="1"/>
  <c r="L294" i="4"/>
  <c r="M294" i="4" s="1"/>
  <c r="L295" i="4"/>
  <c r="M295" i="4" s="1"/>
  <c r="L296" i="4"/>
  <c r="M296" i="4" s="1"/>
  <c r="L297" i="4"/>
  <c r="M297" i="4" s="1"/>
  <c r="L298" i="4"/>
  <c r="L299" i="4"/>
  <c r="M299" i="4" s="1"/>
  <c r="L300" i="4"/>
  <c r="M300" i="4" s="1"/>
  <c r="L301" i="4"/>
  <c r="M301" i="4" s="1"/>
  <c r="L302" i="4"/>
  <c r="M302" i="4" s="1"/>
  <c r="L303" i="4"/>
  <c r="M303" i="4" s="1"/>
  <c r="L304" i="4"/>
  <c r="M304" i="4" s="1"/>
  <c r="L305" i="4"/>
  <c r="M305" i="4" s="1"/>
  <c r="L306" i="4"/>
  <c r="M306" i="4" s="1"/>
  <c r="L307" i="4"/>
  <c r="M307" i="4" s="1"/>
  <c r="L308" i="4"/>
  <c r="M308" i="4" s="1"/>
  <c r="L309" i="4"/>
  <c r="M309" i="4" s="1"/>
  <c r="L310" i="4"/>
  <c r="L311" i="4"/>
  <c r="M311" i="4" s="1"/>
  <c r="L312" i="4"/>
  <c r="M312" i="4" s="1"/>
  <c r="L313" i="4"/>
  <c r="M313" i="4" s="1"/>
  <c r="L314" i="4"/>
  <c r="M314" i="4" s="1"/>
  <c r="L315" i="4"/>
  <c r="M315" i="4" s="1"/>
  <c r="L316" i="4"/>
  <c r="M316" i="4" s="1"/>
  <c r="L317" i="4"/>
  <c r="M317" i="4" s="1"/>
  <c r="L318" i="4"/>
  <c r="M318" i="4" s="1"/>
  <c r="L319" i="4"/>
  <c r="M319" i="4" s="1"/>
  <c r="L320" i="4"/>
  <c r="M320" i="4" s="1"/>
  <c r="L321" i="4"/>
  <c r="M321" i="4" s="1"/>
  <c r="L322" i="4"/>
  <c r="L323" i="4"/>
  <c r="M323" i="4" s="1"/>
  <c r="L324" i="4"/>
  <c r="M324" i="4" s="1"/>
  <c r="L325" i="4"/>
  <c r="M325" i="4" s="1"/>
  <c r="L326" i="4"/>
  <c r="M326" i="4" s="1"/>
  <c r="L327" i="4"/>
  <c r="M327" i="4" s="1"/>
  <c r="L328" i="4"/>
  <c r="M328" i="4" s="1"/>
  <c r="L329" i="4"/>
  <c r="M329" i="4" s="1"/>
  <c r="L330" i="4"/>
  <c r="M330" i="4" s="1"/>
  <c r="L331" i="4"/>
  <c r="M331" i="4" s="1"/>
  <c r="L332" i="4"/>
  <c r="M332" i="4" s="1"/>
  <c r="L333" i="4"/>
  <c r="M333" i="4" s="1"/>
  <c r="L334" i="4"/>
  <c r="L335" i="4"/>
  <c r="M335" i="4" s="1"/>
  <c r="L336" i="4"/>
  <c r="M336" i="4" s="1"/>
  <c r="L337" i="4"/>
  <c r="M337" i="4" s="1"/>
  <c r="L338" i="4"/>
  <c r="M338" i="4" s="1"/>
  <c r="L339" i="4"/>
  <c r="M339" i="4" s="1"/>
  <c r="L340" i="4"/>
  <c r="M340" i="4" s="1"/>
  <c r="L341" i="4"/>
  <c r="M341" i="4" s="1"/>
  <c r="L342" i="4"/>
  <c r="M342" i="4" s="1"/>
  <c r="L343" i="4"/>
  <c r="M343" i="4" s="1"/>
  <c r="L344" i="4"/>
  <c r="M344" i="4" s="1"/>
  <c r="L345" i="4"/>
  <c r="M345" i="4" s="1"/>
  <c r="L346" i="4"/>
  <c r="L347" i="4"/>
  <c r="M347" i="4" s="1"/>
  <c r="L348" i="4"/>
  <c r="M348" i="4" s="1"/>
  <c r="L349" i="4"/>
  <c r="M349" i="4" s="1"/>
  <c r="L350" i="4"/>
  <c r="M350" i="4" s="1"/>
  <c r="L351" i="4"/>
  <c r="M351" i="4" s="1"/>
  <c r="L352" i="4"/>
  <c r="M352" i="4" s="1"/>
  <c r="L353" i="4"/>
  <c r="M353" i="4" s="1"/>
  <c r="L354" i="4"/>
  <c r="M354" i="4" s="1"/>
  <c r="L355" i="4"/>
  <c r="M355" i="4" s="1"/>
  <c r="L356" i="4"/>
  <c r="M356" i="4" s="1"/>
  <c r="L357" i="4"/>
  <c r="M357" i="4" s="1"/>
  <c r="L358" i="4"/>
  <c r="L359" i="4"/>
  <c r="M359" i="4" s="1"/>
  <c r="L360" i="4"/>
  <c r="M360" i="4" s="1"/>
  <c r="L361" i="4"/>
  <c r="M361" i="4" s="1"/>
  <c r="L362" i="4"/>
  <c r="M362" i="4" s="1"/>
  <c r="L363" i="4"/>
  <c r="M363" i="4" s="1"/>
  <c r="L364" i="4"/>
  <c r="M364" i="4" s="1"/>
  <c r="L365" i="4"/>
  <c r="M365" i="4" s="1"/>
  <c r="L366" i="4"/>
  <c r="M366" i="4" s="1"/>
  <c r="L367" i="4"/>
  <c r="M367" i="4" s="1"/>
  <c r="L368" i="4"/>
  <c r="M368" i="4" s="1"/>
  <c r="L369" i="4"/>
  <c r="M369" i="4" s="1"/>
  <c r="L370" i="4"/>
  <c r="L371" i="4"/>
  <c r="M371" i="4" s="1"/>
  <c r="L372" i="4"/>
  <c r="M372" i="4" s="1"/>
  <c r="L373" i="4"/>
  <c r="M373" i="4" s="1"/>
  <c r="L374" i="4"/>
  <c r="M374" i="4" s="1"/>
  <c r="L375" i="4"/>
  <c r="M375" i="4" s="1"/>
  <c r="L376" i="4"/>
  <c r="M376" i="4" s="1"/>
  <c r="L377" i="4"/>
  <c r="M377" i="4" s="1"/>
  <c r="L378" i="4"/>
  <c r="M378" i="4" s="1"/>
  <c r="L379" i="4"/>
  <c r="M379" i="4" s="1"/>
  <c r="L380" i="4"/>
  <c r="M380" i="4" s="1"/>
  <c r="L381" i="4"/>
  <c r="M381" i="4" s="1"/>
  <c r="L382" i="4"/>
  <c r="L383" i="4"/>
  <c r="M383" i="4" s="1"/>
  <c r="L384" i="4"/>
  <c r="M384" i="4" s="1"/>
  <c r="L385" i="4"/>
  <c r="M385" i="4" s="1"/>
  <c r="L386" i="4"/>
  <c r="M386" i="4" s="1"/>
  <c r="L387" i="4"/>
  <c r="M387" i="4" s="1"/>
  <c r="L388" i="4"/>
  <c r="M388" i="4" s="1"/>
  <c r="L389" i="4"/>
  <c r="M389" i="4" s="1"/>
  <c r="L390" i="4"/>
  <c r="M390" i="4" s="1"/>
  <c r="L391" i="4"/>
  <c r="M391" i="4" s="1"/>
  <c r="L392" i="4"/>
  <c r="M392" i="4" s="1"/>
  <c r="L393" i="4"/>
  <c r="M393" i="4" s="1"/>
  <c r="L394" i="4"/>
  <c r="L395" i="4"/>
  <c r="M395" i="4" s="1"/>
  <c r="L396" i="4"/>
  <c r="M396" i="4" s="1"/>
  <c r="L397" i="4"/>
  <c r="M397" i="4" s="1"/>
  <c r="L398" i="4"/>
  <c r="M398" i="4" s="1"/>
  <c r="L399" i="4"/>
  <c r="M399" i="4" s="1"/>
  <c r="L400" i="4"/>
  <c r="M400" i="4" s="1"/>
  <c r="L401" i="4"/>
  <c r="M401" i="4" s="1"/>
  <c r="L402" i="4"/>
  <c r="M402" i="4" s="1"/>
  <c r="L403" i="4"/>
  <c r="M403" i="4" s="1"/>
  <c r="L404" i="4"/>
  <c r="M404" i="4" s="1"/>
  <c r="L405" i="4"/>
  <c r="M405" i="4" s="1"/>
  <c r="L406" i="4"/>
  <c r="L407" i="4"/>
  <c r="M407" i="4" s="1"/>
  <c r="L408" i="4"/>
  <c r="M408" i="4" s="1"/>
  <c r="L409" i="4"/>
  <c r="M409" i="4" s="1"/>
  <c r="L410" i="4"/>
  <c r="M410" i="4" s="1"/>
  <c r="L411" i="4"/>
  <c r="M411" i="4" s="1"/>
  <c r="L412" i="4"/>
  <c r="M412" i="4" s="1"/>
  <c r="L413" i="4"/>
  <c r="M413" i="4" s="1"/>
  <c r="L414" i="4"/>
  <c r="M414" i="4" s="1"/>
  <c r="L415" i="4"/>
  <c r="M415" i="4" s="1"/>
  <c r="L416" i="4"/>
  <c r="M416" i="4" s="1"/>
  <c r="L417" i="4"/>
  <c r="M417" i="4" s="1"/>
  <c r="L418" i="4"/>
  <c r="L419" i="4"/>
  <c r="M419" i="4" s="1"/>
  <c r="L420" i="4"/>
  <c r="M420" i="4" s="1"/>
  <c r="L421" i="4"/>
  <c r="M421" i="4" s="1"/>
  <c r="L422" i="4"/>
  <c r="M422" i="4" s="1"/>
  <c r="L423" i="4"/>
  <c r="M423" i="4" s="1"/>
  <c r="L424" i="4"/>
  <c r="M424" i="4" s="1"/>
  <c r="L425" i="4"/>
  <c r="M425" i="4" s="1"/>
  <c r="L426" i="4"/>
  <c r="M426" i="4" s="1"/>
  <c r="L427" i="4"/>
  <c r="M427" i="4" s="1"/>
  <c r="L428" i="4"/>
  <c r="M428" i="4" s="1"/>
  <c r="L429" i="4"/>
  <c r="M429" i="4" s="1"/>
  <c r="L430" i="4"/>
  <c r="L431" i="4"/>
  <c r="M431" i="4" s="1"/>
  <c r="L432" i="4"/>
  <c r="M432" i="4" s="1"/>
  <c r="L433" i="4"/>
  <c r="M433" i="4" s="1"/>
  <c r="L434" i="4"/>
  <c r="M434" i="4" s="1"/>
  <c r="L435" i="4"/>
  <c r="M435" i="4" s="1"/>
  <c r="L436" i="4"/>
  <c r="M436" i="4" s="1"/>
  <c r="L437" i="4"/>
  <c r="M437" i="4" s="1"/>
  <c r="L438" i="4"/>
  <c r="M438" i="4" s="1"/>
  <c r="L439" i="4"/>
  <c r="M439" i="4" s="1"/>
  <c r="L440" i="4"/>
  <c r="M440" i="4" s="1"/>
  <c r="L441" i="4"/>
  <c r="M441" i="4" s="1"/>
  <c r="L442" i="4"/>
  <c r="L443" i="4"/>
  <c r="M443" i="4" s="1"/>
  <c r="L444" i="4"/>
  <c r="M444" i="4" s="1"/>
  <c r="L445" i="4"/>
  <c r="M445" i="4" s="1"/>
  <c r="L446" i="4"/>
  <c r="M446" i="4" s="1"/>
  <c r="L447" i="4"/>
  <c r="M447" i="4" s="1"/>
  <c r="L448" i="4"/>
  <c r="M448" i="4" s="1"/>
  <c r="L449" i="4"/>
  <c r="M449" i="4" s="1"/>
  <c r="L450" i="4"/>
  <c r="M450" i="4" s="1"/>
  <c r="L451" i="4"/>
  <c r="M451" i="4" s="1"/>
  <c r="L452" i="4"/>
  <c r="M452" i="4" s="1"/>
  <c r="L453" i="4"/>
  <c r="M453" i="4" s="1"/>
  <c r="L454" i="4"/>
  <c r="L455" i="4"/>
  <c r="M455" i="4" s="1"/>
  <c r="L456" i="4"/>
  <c r="M456" i="4" s="1"/>
  <c r="L457" i="4"/>
  <c r="M457" i="4" s="1"/>
  <c r="L458" i="4"/>
  <c r="M458" i="4" s="1"/>
  <c r="L459" i="4"/>
  <c r="M459" i="4" s="1"/>
  <c r="L460" i="4"/>
  <c r="M460" i="4" s="1"/>
  <c r="L461" i="4"/>
  <c r="M461" i="4" s="1"/>
  <c r="L462" i="4"/>
  <c r="M462" i="4" s="1"/>
  <c r="L463" i="4"/>
  <c r="M463" i="4" s="1"/>
  <c r="L464" i="4"/>
  <c r="M464" i="4" s="1"/>
  <c r="L465" i="4"/>
  <c r="M465" i="4" s="1"/>
  <c r="L466" i="4"/>
  <c r="L467" i="4"/>
  <c r="M467" i="4" s="1"/>
  <c r="L468" i="4"/>
  <c r="M468" i="4" s="1"/>
  <c r="L469" i="4"/>
  <c r="M469" i="4" s="1"/>
  <c r="L470" i="4"/>
  <c r="M470" i="4" s="1"/>
  <c r="L471" i="4"/>
  <c r="M471" i="4" s="1"/>
  <c r="L472" i="4"/>
  <c r="M472" i="4" s="1"/>
  <c r="L473" i="4"/>
  <c r="M473" i="4" s="1"/>
  <c r="L474" i="4"/>
  <c r="M474" i="4" s="1"/>
  <c r="L475" i="4"/>
  <c r="M475" i="4" s="1"/>
  <c r="L476" i="4"/>
  <c r="M476" i="4" s="1"/>
  <c r="L477" i="4"/>
  <c r="M477" i="4" s="1"/>
  <c r="L478" i="4"/>
  <c r="L479" i="4"/>
  <c r="M479" i="4" s="1"/>
  <c r="L480" i="4"/>
  <c r="M480" i="4" s="1"/>
  <c r="L481" i="4"/>
  <c r="M481" i="4" s="1"/>
  <c r="L482" i="4"/>
  <c r="M482" i="4" s="1"/>
  <c r="L483" i="4"/>
  <c r="M483" i="4" s="1"/>
  <c r="L484" i="4"/>
  <c r="M484" i="4" s="1"/>
  <c r="L485" i="4"/>
  <c r="M485" i="4" s="1"/>
  <c r="L486" i="4"/>
  <c r="M486" i="4" s="1"/>
  <c r="L487" i="4"/>
  <c r="M487" i="4" s="1"/>
  <c r="L488" i="4"/>
  <c r="M488" i="4" s="1"/>
  <c r="L489" i="4"/>
  <c r="M489" i="4" s="1"/>
  <c r="L490" i="4"/>
  <c r="L491" i="4"/>
  <c r="M491" i="4" s="1"/>
  <c r="L492" i="4"/>
  <c r="M492" i="4" s="1"/>
  <c r="L493" i="4"/>
  <c r="M493" i="4" s="1"/>
  <c r="L494" i="4"/>
  <c r="M494" i="4" s="1"/>
  <c r="L495" i="4"/>
  <c r="M495" i="4" s="1"/>
  <c r="L496" i="4"/>
  <c r="M496" i="4" s="1"/>
  <c r="L497" i="4"/>
  <c r="M497" i="4" s="1"/>
  <c r="L498" i="4"/>
  <c r="M498" i="4" s="1"/>
  <c r="L499" i="4"/>
  <c r="M499" i="4" s="1"/>
  <c r="L500" i="4"/>
  <c r="M500" i="4" s="1"/>
  <c r="L501" i="4"/>
  <c r="M501" i="4" s="1"/>
  <c r="L502" i="4"/>
  <c r="L503" i="4"/>
  <c r="M503" i="4" s="1"/>
  <c r="L504" i="4"/>
  <c r="M504" i="4" s="1"/>
  <c r="L505" i="4"/>
  <c r="M505" i="4" s="1"/>
  <c r="L506" i="4"/>
  <c r="M506" i="4" s="1"/>
  <c r="L507" i="4"/>
  <c r="M507" i="4" s="1"/>
  <c r="L508" i="4"/>
  <c r="M508" i="4" s="1"/>
  <c r="S493" i="4" l="1"/>
  <c r="T493" i="4" s="1"/>
  <c r="S349" i="4"/>
  <c r="T349" i="4" s="1"/>
  <c r="S205" i="4"/>
  <c r="T205" i="4" s="1"/>
  <c r="S73" i="4"/>
  <c r="T73" i="4" s="1"/>
  <c r="S481" i="4"/>
  <c r="T481" i="4" s="1"/>
  <c r="S337" i="4"/>
  <c r="T337" i="4" s="1"/>
  <c r="S193" i="4"/>
  <c r="T193" i="4" s="1"/>
  <c r="S72" i="4"/>
  <c r="T72" i="4" s="1"/>
  <c r="S469" i="4"/>
  <c r="T469" i="4" s="1"/>
  <c r="S325" i="4"/>
  <c r="T325" i="4" s="1"/>
  <c r="S181" i="4"/>
  <c r="T181" i="4" s="1"/>
  <c r="S71" i="4"/>
  <c r="T71" i="4" s="1"/>
  <c r="S457" i="4"/>
  <c r="T457" i="4" s="1"/>
  <c r="S313" i="4"/>
  <c r="T313" i="4" s="1"/>
  <c r="S169" i="4"/>
  <c r="T169" i="4" s="1"/>
  <c r="S61" i="4"/>
  <c r="T61" i="4" s="1"/>
  <c r="S445" i="4"/>
  <c r="T445" i="4" s="1"/>
  <c r="S301" i="4"/>
  <c r="T301" i="4" s="1"/>
  <c r="S157" i="4"/>
  <c r="T157" i="4" s="1"/>
  <c r="S49" i="4"/>
  <c r="T49" i="4" s="1"/>
  <c r="S433" i="4"/>
  <c r="T433" i="4" s="1"/>
  <c r="S289" i="4"/>
  <c r="T289" i="4" s="1"/>
  <c r="S145" i="4"/>
  <c r="T145" i="4" s="1"/>
  <c r="S37" i="4"/>
  <c r="T37" i="4" s="1"/>
  <c r="S421" i="4"/>
  <c r="T421" i="4" s="1"/>
  <c r="S277" i="4"/>
  <c r="T277" i="4" s="1"/>
  <c r="S144" i="4"/>
  <c r="T144" i="4" s="1"/>
  <c r="S25" i="4"/>
  <c r="T25" i="4" s="1"/>
  <c r="S409" i="4"/>
  <c r="T409" i="4" s="1"/>
  <c r="S265" i="4"/>
  <c r="T265" i="4" s="1"/>
  <c r="S133" i="4"/>
  <c r="T133" i="4" s="1"/>
  <c r="S13" i="4"/>
  <c r="T13" i="4" s="1"/>
  <c r="S397" i="4"/>
  <c r="T397" i="4" s="1"/>
  <c r="S253" i="4"/>
  <c r="T253" i="4" s="1"/>
  <c r="S121" i="4"/>
  <c r="T121" i="4" s="1"/>
  <c r="S12" i="4"/>
  <c r="T12" i="4" s="1"/>
  <c r="S385" i="4"/>
  <c r="T385" i="4" s="1"/>
  <c r="S241" i="4"/>
  <c r="T241" i="4" s="1"/>
  <c r="S109" i="4"/>
  <c r="T109" i="4" s="1"/>
  <c r="S373" i="4"/>
  <c r="T373" i="4" s="1"/>
  <c r="S229" i="4"/>
  <c r="T229" i="4" s="1"/>
  <c r="S97" i="4"/>
  <c r="T97" i="4" s="1"/>
  <c r="S505" i="4"/>
  <c r="T505" i="4" s="1"/>
  <c r="S361" i="4"/>
  <c r="T361" i="4" s="1"/>
  <c r="S217" i="4"/>
  <c r="T217" i="4" s="1"/>
  <c r="S85" i="4"/>
  <c r="T85" i="4" s="1"/>
  <c r="S384" i="4"/>
  <c r="T384" i="4" s="1"/>
  <c r="S288" i="4"/>
  <c r="T288" i="4" s="1"/>
  <c r="M143" i="4"/>
  <c r="S143" i="4"/>
  <c r="T143" i="4" s="1"/>
  <c r="M35" i="4"/>
  <c r="S35" i="4"/>
  <c r="T35" i="4" s="1"/>
  <c r="M23" i="4"/>
  <c r="S23" i="4"/>
  <c r="T23" i="4" s="1"/>
  <c r="S431" i="4"/>
  <c r="T431" i="4" s="1"/>
  <c r="S335" i="4"/>
  <c r="T335" i="4" s="1"/>
  <c r="S132" i="4"/>
  <c r="T132" i="4" s="1"/>
  <c r="M502" i="4"/>
  <c r="S502" i="4"/>
  <c r="T502" i="4" s="1"/>
  <c r="M466" i="4"/>
  <c r="S466" i="4"/>
  <c r="T466" i="4" s="1"/>
  <c r="M430" i="4"/>
  <c r="S430" i="4"/>
  <c r="T430" i="4" s="1"/>
  <c r="M370" i="4"/>
  <c r="S370" i="4"/>
  <c r="T370" i="4" s="1"/>
  <c r="M322" i="4"/>
  <c r="S322" i="4"/>
  <c r="T322" i="4" s="1"/>
  <c r="M274" i="4"/>
  <c r="S274" i="4"/>
  <c r="T274" i="4" s="1"/>
  <c r="M226" i="4"/>
  <c r="S226" i="4"/>
  <c r="T226" i="4" s="1"/>
  <c r="M190" i="4"/>
  <c r="S190" i="4"/>
  <c r="T190" i="4" s="1"/>
  <c r="M154" i="4"/>
  <c r="S154" i="4"/>
  <c r="T154" i="4" s="1"/>
  <c r="M106" i="4"/>
  <c r="S106" i="4"/>
  <c r="T106" i="4" s="1"/>
  <c r="M70" i="4"/>
  <c r="S70" i="4"/>
  <c r="T70" i="4" s="1"/>
  <c r="M34" i="4"/>
  <c r="S34" i="4"/>
  <c r="T34" i="4" s="1"/>
  <c r="M10" i="4"/>
  <c r="S10" i="4"/>
  <c r="T10" i="4" s="1"/>
  <c r="S60" i="4"/>
  <c r="T60" i="4" s="1"/>
  <c r="S420" i="4"/>
  <c r="T420" i="4" s="1"/>
  <c r="S324" i="4"/>
  <c r="T324" i="4" s="1"/>
  <c r="S120" i="4"/>
  <c r="T120" i="4" s="1"/>
  <c r="S467" i="4"/>
  <c r="T467" i="4" s="1"/>
  <c r="S371" i="4"/>
  <c r="T371" i="4" s="1"/>
  <c r="S275" i="4"/>
  <c r="T275" i="4" s="1"/>
  <c r="S108" i="4"/>
  <c r="T108" i="4" s="1"/>
  <c r="S456" i="4"/>
  <c r="T456" i="4" s="1"/>
  <c r="S360" i="4"/>
  <c r="T360" i="4" s="1"/>
  <c r="S264" i="4"/>
  <c r="T264" i="4" s="1"/>
  <c r="S503" i="4"/>
  <c r="T503" i="4" s="1"/>
  <c r="S455" i="4"/>
  <c r="T455" i="4" s="1"/>
  <c r="S407" i="4"/>
  <c r="T407" i="4" s="1"/>
  <c r="S359" i="4"/>
  <c r="T359" i="4" s="1"/>
  <c r="S311" i="4"/>
  <c r="T311" i="4" s="1"/>
  <c r="S263" i="4"/>
  <c r="T263" i="4" s="1"/>
  <c r="S215" i="4"/>
  <c r="T215" i="4" s="1"/>
  <c r="S167" i="4"/>
  <c r="T167" i="4" s="1"/>
  <c r="S96" i="4"/>
  <c r="T96" i="4" s="1"/>
  <c r="S36" i="4"/>
  <c r="T36" i="4" s="1"/>
  <c r="S480" i="4"/>
  <c r="T480" i="4" s="1"/>
  <c r="S432" i="4"/>
  <c r="T432" i="4" s="1"/>
  <c r="S336" i="4"/>
  <c r="T336" i="4" s="1"/>
  <c r="M131" i="4"/>
  <c r="S131" i="4"/>
  <c r="T131" i="4" s="1"/>
  <c r="M47" i="4"/>
  <c r="S47" i="4"/>
  <c r="T47" i="4" s="1"/>
  <c r="M11" i="4"/>
  <c r="S11" i="4"/>
  <c r="T11" i="4" s="1"/>
  <c r="S479" i="4"/>
  <c r="T479" i="4" s="1"/>
  <c r="S383" i="4"/>
  <c r="T383" i="4" s="1"/>
  <c r="S287" i="4"/>
  <c r="T287" i="4" s="1"/>
  <c r="M478" i="4"/>
  <c r="S478" i="4"/>
  <c r="T478" i="4" s="1"/>
  <c r="M418" i="4"/>
  <c r="S418" i="4"/>
  <c r="T418" i="4" s="1"/>
  <c r="M382" i="4"/>
  <c r="S382" i="4"/>
  <c r="T382" i="4" s="1"/>
  <c r="M334" i="4"/>
  <c r="S334" i="4"/>
  <c r="T334" i="4" s="1"/>
  <c r="M298" i="4"/>
  <c r="S298" i="4"/>
  <c r="T298" i="4" s="1"/>
  <c r="M262" i="4"/>
  <c r="S262" i="4"/>
  <c r="T262" i="4" s="1"/>
  <c r="M214" i="4"/>
  <c r="S214" i="4"/>
  <c r="T214" i="4" s="1"/>
  <c r="M166" i="4"/>
  <c r="S166" i="4"/>
  <c r="T166" i="4" s="1"/>
  <c r="M130" i="4"/>
  <c r="S130" i="4"/>
  <c r="T130" i="4" s="1"/>
  <c r="M94" i="4"/>
  <c r="S94" i="4"/>
  <c r="T94" i="4" s="1"/>
  <c r="M58" i="4"/>
  <c r="S58" i="4"/>
  <c r="T58" i="4" s="1"/>
  <c r="S468" i="4"/>
  <c r="T468" i="4" s="1"/>
  <c r="S372" i="4"/>
  <c r="T372" i="4" s="1"/>
  <c r="S276" i="4"/>
  <c r="T276" i="4" s="1"/>
  <c r="S59" i="4"/>
  <c r="T59" i="4" s="1"/>
  <c r="S419" i="4"/>
  <c r="T419" i="4" s="1"/>
  <c r="S323" i="4"/>
  <c r="T323" i="4" s="1"/>
  <c r="S48" i="4"/>
  <c r="T48" i="4" s="1"/>
  <c r="S504" i="4"/>
  <c r="T504" i="4" s="1"/>
  <c r="S408" i="4"/>
  <c r="T408" i="4" s="1"/>
  <c r="S312" i="4"/>
  <c r="T312" i="4" s="1"/>
  <c r="S240" i="4"/>
  <c r="T240" i="4" s="1"/>
  <c r="M155" i="4"/>
  <c r="S155" i="4"/>
  <c r="T155" i="4" s="1"/>
  <c r="M107" i="4"/>
  <c r="S107" i="4"/>
  <c r="T107" i="4" s="1"/>
  <c r="M83" i="4"/>
  <c r="S83" i="4"/>
  <c r="T83" i="4" s="1"/>
  <c r="S239" i="4"/>
  <c r="T239" i="4" s="1"/>
  <c r="M490" i="4"/>
  <c r="S490" i="4"/>
  <c r="T490" i="4" s="1"/>
  <c r="M442" i="4"/>
  <c r="S442" i="4"/>
  <c r="T442" i="4" s="1"/>
  <c r="M394" i="4"/>
  <c r="S394" i="4"/>
  <c r="T394" i="4" s="1"/>
  <c r="M346" i="4"/>
  <c r="S346" i="4"/>
  <c r="T346" i="4" s="1"/>
  <c r="M286" i="4"/>
  <c r="S286" i="4"/>
  <c r="T286" i="4" s="1"/>
  <c r="M238" i="4"/>
  <c r="S238" i="4"/>
  <c r="T238" i="4" s="1"/>
  <c r="M178" i="4"/>
  <c r="S178" i="4"/>
  <c r="T178" i="4" s="1"/>
  <c r="M118" i="4"/>
  <c r="S118" i="4"/>
  <c r="T118" i="4" s="1"/>
  <c r="M46" i="4"/>
  <c r="S46" i="4"/>
  <c r="T46" i="4" s="1"/>
  <c r="S228" i="4"/>
  <c r="T228" i="4" s="1"/>
  <c r="S227" i="4"/>
  <c r="T227" i="4" s="1"/>
  <c r="S168" i="4"/>
  <c r="T168" i="4" s="1"/>
  <c r="S492" i="4"/>
  <c r="T492" i="4" s="1"/>
  <c r="S444" i="4"/>
  <c r="T444" i="4" s="1"/>
  <c r="S396" i="4"/>
  <c r="T396" i="4" s="1"/>
  <c r="S348" i="4"/>
  <c r="T348" i="4" s="1"/>
  <c r="S300" i="4"/>
  <c r="T300" i="4" s="1"/>
  <c r="S252" i="4"/>
  <c r="T252" i="4" s="1"/>
  <c r="S204" i="4"/>
  <c r="T204" i="4" s="1"/>
  <c r="S156" i="4"/>
  <c r="T156" i="4" s="1"/>
  <c r="S84" i="4"/>
  <c r="T84" i="4" s="1"/>
  <c r="S24" i="4"/>
  <c r="T24" i="4" s="1"/>
  <c r="S192" i="4"/>
  <c r="T192" i="4" s="1"/>
  <c r="M119" i="4"/>
  <c r="S119" i="4"/>
  <c r="T119" i="4" s="1"/>
  <c r="M95" i="4"/>
  <c r="S95" i="4"/>
  <c r="T95" i="4" s="1"/>
  <c r="S191" i="4"/>
  <c r="T191" i="4" s="1"/>
  <c r="M454" i="4"/>
  <c r="S454" i="4"/>
  <c r="T454" i="4" s="1"/>
  <c r="M406" i="4"/>
  <c r="S406" i="4"/>
  <c r="T406" i="4" s="1"/>
  <c r="M358" i="4"/>
  <c r="S358" i="4"/>
  <c r="T358" i="4" s="1"/>
  <c r="M310" i="4"/>
  <c r="S310" i="4"/>
  <c r="T310" i="4" s="1"/>
  <c r="M250" i="4"/>
  <c r="S250" i="4"/>
  <c r="T250" i="4" s="1"/>
  <c r="M202" i="4"/>
  <c r="S202" i="4"/>
  <c r="T202" i="4" s="1"/>
  <c r="M142" i="4"/>
  <c r="S142" i="4"/>
  <c r="T142" i="4" s="1"/>
  <c r="M82" i="4"/>
  <c r="S82" i="4"/>
  <c r="T82" i="4" s="1"/>
  <c r="M22" i="4"/>
  <c r="S22" i="4"/>
  <c r="T22" i="4" s="1"/>
  <c r="S180" i="4"/>
  <c r="T180" i="4" s="1"/>
  <c r="S179" i="4"/>
  <c r="T179" i="4" s="1"/>
  <c r="S216" i="4"/>
  <c r="T216" i="4" s="1"/>
  <c r="S491" i="4"/>
  <c r="T491" i="4" s="1"/>
  <c r="S443" i="4"/>
  <c r="T443" i="4" s="1"/>
  <c r="S395" i="4"/>
  <c r="T395" i="4" s="1"/>
  <c r="S347" i="4"/>
  <c r="T347" i="4" s="1"/>
  <c r="S299" i="4"/>
  <c r="T299" i="4" s="1"/>
  <c r="S251" i="4"/>
  <c r="T251" i="4" s="1"/>
  <c r="S203" i="4"/>
  <c r="T203" i="4" s="1"/>
  <c r="S489" i="4"/>
  <c r="T489" i="4" s="1"/>
  <c r="S441" i="4"/>
  <c r="T441" i="4" s="1"/>
  <c r="S393" i="4"/>
  <c r="T393" i="4" s="1"/>
  <c r="S333" i="4"/>
  <c r="T333" i="4" s="1"/>
  <c r="S285" i="4"/>
  <c r="T285" i="4" s="1"/>
  <c r="S237" i="4"/>
  <c r="T237" i="4" s="1"/>
  <c r="S189" i="4"/>
  <c r="T189" i="4" s="1"/>
  <c r="S45" i="4"/>
  <c r="T45" i="4" s="1"/>
  <c r="S488" i="4"/>
  <c r="T488" i="4" s="1"/>
  <c r="S452" i="4"/>
  <c r="T452" i="4" s="1"/>
  <c r="S428" i="4"/>
  <c r="T428" i="4" s="1"/>
  <c r="S392" i="4"/>
  <c r="T392" i="4" s="1"/>
  <c r="S356" i="4"/>
  <c r="T356" i="4" s="1"/>
  <c r="S320" i="4"/>
  <c r="T320" i="4" s="1"/>
  <c r="S284" i="4"/>
  <c r="T284" i="4" s="1"/>
  <c r="S248" i="4"/>
  <c r="T248" i="4" s="1"/>
  <c r="S212" i="4"/>
  <c r="T212" i="4" s="1"/>
  <c r="S176" i="4"/>
  <c r="T176" i="4" s="1"/>
  <c r="S140" i="4"/>
  <c r="T140" i="4" s="1"/>
  <c r="S104" i="4"/>
  <c r="T104" i="4" s="1"/>
  <c r="S56" i="4"/>
  <c r="T56" i="4" s="1"/>
  <c r="S8" i="4"/>
  <c r="T8" i="4" s="1"/>
  <c r="S499" i="4"/>
  <c r="T499" i="4" s="1"/>
  <c r="S487" i="4"/>
  <c r="T487" i="4" s="1"/>
  <c r="S475" i="4"/>
  <c r="T475" i="4" s="1"/>
  <c r="S463" i="4"/>
  <c r="T463" i="4" s="1"/>
  <c r="S451" i="4"/>
  <c r="T451" i="4" s="1"/>
  <c r="S439" i="4"/>
  <c r="T439" i="4" s="1"/>
  <c r="S427" i="4"/>
  <c r="T427" i="4" s="1"/>
  <c r="S415" i="4"/>
  <c r="T415" i="4" s="1"/>
  <c r="S403" i="4"/>
  <c r="T403" i="4" s="1"/>
  <c r="S391" i="4"/>
  <c r="T391" i="4" s="1"/>
  <c r="S379" i="4"/>
  <c r="T379" i="4" s="1"/>
  <c r="S367" i="4"/>
  <c r="T367" i="4" s="1"/>
  <c r="S355" i="4"/>
  <c r="T355" i="4" s="1"/>
  <c r="S343" i="4"/>
  <c r="T343" i="4" s="1"/>
  <c r="S331" i="4"/>
  <c r="T331" i="4" s="1"/>
  <c r="S319" i="4"/>
  <c r="T319" i="4" s="1"/>
  <c r="S307" i="4"/>
  <c r="T307" i="4" s="1"/>
  <c r="S295" i="4"/>
  <c r="T295" i="4" s="1"/>
  <c r="S283" i="4"/>
  <c r="T283" i="4" s="1"/>
  <c r="S271" i="4"/>
  <c r="T271" i="4" s="1"/>
  <c r="S259" i="4"/>
  <c r="T259" i="4" s="1"/>
  <c r="S247" i="4"/>
  <c r="T247" i="4" s="1"/>
  <c r="S235" i="4"/>
  <c r="T235" i="4" s="1"/>
  <c r="S223" i="4"/>
  <c r="T223" i="4" s="1"/>
  <c r="S211" i="4"/>
  <c r="T211" i="4" s="1"/>
  <c r="S199" i="4"/>
  <c r="T199" i="4" s="1"/>
  <c r="S187" i="4"/>
  <c r="T187" i="4" s="1"/>
  <c r="S175" i="4"/>
  <c r="T175" i="4" s="1"/>
  <c r="S163" i="4"/>
  <c r="T163" i="4" s="1"/>
  <c r="S151" i="4"/>
  <c r="T151" i="4" s="1"/>
  <c r="S139" i="4"/>
  <c r="T139" i="4" s="1"/>
  <c r="S127" i="4"/>
  <c r="T127" i="4" s="1"/>
  <c r="S115" i="4"/>
  <c r="T115" i="4" s="1"/>
  <c r="S103" i="4"/>
  <c r="T103" i="4" s="1"/>
  <c r="S91" i="4"/>
  <c r="T91" i="4" s="1"/>
  <c r="S79" i="4"/>
  <c r="T79" i="4" s="1"/>
  <c r="S67" i="4"/>
  <c r="T67" i="4" s="1"/>
  <c r="S55" i="4"/>
  <c r="T55" i="4" s="1"/>
  <c r="S43" i="4"/>
  <c r="T43" i="4" s="1"/>
  <c r="S31" i="4"/>
  <c r="T31" i="4" s="1"/>
  <c r="S19" i="4"/>
  <c r="T19" i="4" s="1"/>
  <c r="S7" i="4"/>
  <c r="T7" i="4" s="1"/>
  <c r="S501" i="4"/>
  <c r="T501" i="4" s="1"/>
  <c r="S453" i="4"/>
  <c r="T453" i="4" s="1"/>
  <c r="S405" i="4"/>
  <c r="T405" i="4" s="1"/>
  <c r="S357" i="4"/>
  <c r="T357" i="4" s="1"/>
  <c r="S297" i="4"/>
  <c r="T297" i="4" s="1"/>
  <c r="S249" i="4"/>
  <c r="T249" i="4" s="1"/>
  <c r="S213" i="4"/>
  <c r="T213" i="4" s="1"/>
  <c r="S165" i="4"/>
  <c r="T165" i="4" s="1"/>
  <c r="S141" i="4"/>
  <c r="T141" i="4" s="1"/>
  <c r="S117" i="4"/>
  <c r="T117" i="4" s="1"/>
  <c r="S93" i="4"/>
  <c r="T93" i="4" s="1"/>
  <c r="S81" i="4"/>
  <c r="T81" i="4" s="1"/>
  <c r="S9" i="4"/>
  <c r="T9" i="4" s="1"/>
  <c r="S476" i="4"/>
  <c r="T476" i="4" s="1"/>
  <c r="S440" i="4"/>
  <c r="T440" i="4" s="1"/>
  <c r="S404" i="4"/>
  <c r="T404" i="4" s="1"/>
  <c r="S368" i="4"/>
  <c r="T368" i="4" s="1"/>
  <c r="S332" i="4"/>
  <c r="T332" i="4" s="1"/>
  <c r="S296" i="4"/>
  <c r="T296" i="4" s="1"/>
  <c r="S260" i="4"/>
  <c r="T260" i="4" s="1"/>
  <c r="S224" i="4"/>
  <c r="T224" i="4" s="1"/>
  <c r="S188" i="4"/>
  <c r="T188" i="4" s="1"/>
  <c r="S152" i="4"/>
  <c r="T152" i="4" s="1"/>
  <c r="S116" i="4"/>
  <c r="T116" i="4" s="1"/>
  <c r="S80" i="4"/>
  <c r="T80" i="4" s="1"/>
  <c r="S44" i="4"/>
  <c r="T44" i="4" s="1"/>
  <c r="S20" i="4"/>
  <c r="T20" i="4" s="1"/>
  <c r="S498" i="4"/>
  <c r="T498" i="4" s="1"/>
  <c r="S486" i="4"/>
  <c r="T486" i="4" s="1"/>
  <c r="S474" i="4"/>
  <c r="T474" i="4" s="1"/>
  <c r="S462" i="4"/>
  <c r="T462" i="4" s="1"/>
  <c r="S450" i="4"/>
  <c r="T450" i="4" s="1"/>
  <c r="S438" i="4"/>
  <c r="T438" i="4" s="1"/>
  <c r="S426" i="4"/>
  <c r="T426" i="4" s="1"/>
  <c r="S414" i="4"/>
  <c r="T414" i="4" s="1"/>
  <c r="S402" i="4"/>
  <c r="T402" i="4" s="1"/>
  <c r="S390" i="4"/>
  <c r="T390" i="4" s="1"/>
  <c r="S378" i="4"/>
  <c r="T378" i="4" s="1"/>
  <c r="S366" i="4"/>
  <c r="T366" i="4" s="1"/>
  <c r="S354" i="4"/>
  <c r="T354" i="4" s="1"/>
  <c r="S342" i="4"/>
  <c r="T342" i="4" s="1"/>
  <c r="S330" i="4"/>
  <c r="T330" i="4" s="1"/>
  <c r="S318" i="4"/>
  <c r="T318" i="4" s="1"/>
  <c r="S306" i="4"/>
  <c r="T306" i="4" s="1"/>
  <c r="S294" i="4"/>
  <c r="T294" i="4" s="1"/>
  <c r="S282" i="4"/>
  <c r="T282" i="4" s="1"/>
  <c r="S270" i="4"/>
  <c r="T270" i="4" s="1"/>
  <c r="S258" i="4"/>
  <c r="T258" i="4" s="1"/>
  <c r="S246" i="4"/>
  <c r="T246" i="4" s="1"/>
  <c r="S234" i="4"/>
  <c r="T234" i="4" s="1"/>
  <c r="S222" i="4"/>
  <c r="T222" i="4" s="1"/>
  <c r="S210" i="4"/>
  <c r="T210" i="4" s="1"/>
  <c r="S198" i="4"/>
  <c r="T198" i="4" s="1"/>
  <c r="S186" i="4"/>
  <c r="T186" i="4" s="1"/>
  <c r="S174" i="4"/>
  <c r="T174" i="4" s="1"/>
  <c r="S162" i="4"/>
  <c r="T162" i="4" s="1"/>
  <c r="S150" i="4"/>
  <c r="T150" i="4" s="1"/>
  <c r="S138" i="4"/>
  <c r="T138" i="4" s="1"/>
  <c r="S126" i="4"/>
  <c r="T126" i="4" s="1"/>
  <c r="S114" i="4"/>
  <c r="T114" i="4" s="1"/>
  <c r="S102" i="4"/>
  <c r="T102" i="4" s="1"/>
  <c r="S90" i="4"/>
  <c r="T90" i="4" s="1"/>
  <c r="S78" i="4"/>
  <c r="T78" i="4" s="1"/>
  <c r="S66" i="4"/>
  <c r="T66" i="4" s="1"/>
  <c r="S54" i="4"/>
  <c r="T54" i="4" s="1"/>
  <c r="S42" i="4"/>
  <c r="T42" i="4" s="1"/>
  <c r="S30" i="4"/>
  <c r="T30" i="4" s="1"/>
  <c r="S18" i="4"/>
  <c r="T18" i="4" s="1"/>
  <c r="S6" i="4"/>
  <c r="T6" i="4" s="1"/>
  <c r="S465" i="4"/>
  <c r="T465" i="4" s="1"/>
  <c r="S417" i="4"/>
  <c r="T417" i="4" s="1"/>
  <c r="S369" i="4"/>
  <c r="T369" i="4" s="1"/>
  <c r="S321" i="4"/>
  <c r="T321" i="4" s="1"/>
  <c r="S273" i="4"/>
  <c r="T273" i="4" s="1"/>
  <c r="S225" i="4"/>
  <c r="T225" i="4" s="1"/>
  <c r="S177" i="4"/>
  <c r="T177" i="4" s="1"/>
  <c r="S33" i="4"/>
  <c r="T33" i="4" s="1"/>
  <c r="S500" i="4"/>
  <c r="T500" i="4" s="1"/>
  <c r="S464" i="4"/>
  <c r="T464" i="4" s="1"/>
  <c r="S416" i="4"/>
  <c r="T416" i="4" s="1"/>
  <c r="S380" i="4"/>
  <c r="T380" i="4" s="1"/>
  <c r="S344" i="4"/>
  <c r="T344" i="4" s="1"/>
  <c r="S308" i="4"/>
  <c r="T308" i="4" s="1"/>
  <c r="S272" i="4"/>
  <c r="T272" i="4" s="1"/>
  <c r="S236" i="4"/>
  <c r="T236" i="4" s="1"/>
  <c r="S200" i="4"/>
  <c r="T200" i="4" s="1"/>
  <c r="S164" i="4"/>
  <c r="T164" i="4" s="1"/>
  <c r="S128" i="4"/>
  <c r="T128" i="4" s="1"/>
  <c r="S92" i="4"/>
  <c r="T92" i="4" s="1"/>
  <c r="S68" i="4"/>
  <c r="T68" i="4" s="1"/>
  <c r="S32" i="4"/>
  <c r="T32" i="4" s="1"/>
  <c r="S497" i="4"/>
  <c r="T497" i="4" s="1"/>
  <c r="S485" i="4"/>
  <c r="T485" i="4" s="1"/>
  <c r="S473" i="4"/>
  <c r="T473" i="4" s="1"/>
  <c r="S461" i="4"/>
  <c r="T461" i="4" s="1"/>
  <c r="S449" i="4"/>
  <c r="T449" i="4" s="1"/>
  <c r="S437" i="4"/>
  <c r="T437" i="4" s="1"/>
  <c r="S425" i="4"/>
  <c r="T425" i="4" s="1"/>
  <c r="S413" i="4"/>
  <c r="T413" i="4" s="1"/>
  <c r="S401" i="4"/>
  <c r="T401" i="4" s="1"/>
  <c r="S389" i="4"/>
  <c r="T389" i="4" s="1"/>
  <c r="S377" i="4"/>
  <c r="T377" i="4" s="1"/>
  <c r="S365" i="4"/>
  <c r="T365" i="4" s="1"/>
  <c r="S353" i="4"/>
  <c r="T353" i="4" s="1"/>
  <c r="S341" i="4"/>
  <c r="T341" i="4" s="1"/>
  <c r="S329" i="4"/>
  <c r="T329" i="4" s="1"/>
  <c r="S317" i="4"/>
  <c r="T317" i="4" s="1"/>
  <c r="S305" i="4"/>
  <c r="T305" i="4" s="1"/>
  <c r="S293" i="4"/>
  <c r="T293" i="4" s="1"/>
  <c r="S281" i="4"/>
  <c r="T281" i="4" s="1"/>
  <c r="S269" i="4"/>
  <c r="T269" i="4" s="1"/>
  <c r="S257" i="4"/>
  <c r="T257" i="4" s="1"/>
  <c r="S245" i="4"/>
  <c r="T245" i="4" s="1"/>
  <c r="S233" i="4"/>
  <c r="T233" i="4" s="1"/>
  <c r="S221" i="4"/>
  <c r="T221" i="4" s="1"/>
  <c r="S209" i="4"/>
  <c r="T209" i="4" s="1"/>
  <c r="S197" i="4"/>
  <c r="T197" i="4" s="1"/>
  <c r="S185" i="4"/>
  <c r="T185" i="4" s="1"/>
  <c r="S173" i="4"/>
  <c r="T173" i="4" s="1"/>
  <c r="S161" i="4"/>
  <c r="T161" i="4" s="1"/>
  <c r="S149" i="4"/>
  <c r="T149" i="4" s="1"/>
  <c r="S137" i="4"/>
  <c r="T137" i="4" s="1"/>
  <c r="S125" i="4"/>
  <c r="T125" i="4" s="1"/>
  <c r="S113" i="4"/>
  <c r="T113" i="4" s="1"/>
  <c r="S101" i="4"/>
  <c r="T101" i="4" s="1"/>
  <c r="S89" i="4"/>
  <c r="T89" i="4" s="1"/>
  <c r="S77" i="4"/>
  <c r="T77" i="4" s="1"/>
  <c r="S65" i="4"/>
  <c r="T65" i="4" s="1"/>
  <c r="S53" i="4"/>
  <c r="T53" i="4" s="1"/>
  <c r="S41" i="4"/>
  <c r="T41" i="4" s="1"/>
  <c r="S29" i="4"/>
  <c r="T29" i="4" s="1"/>
  <c r="S17" i="4"/>
  <c r="T17" i="4" s="1"/>
  <c r="S5" i="4"/>
  <c r="T5" i="4" s="1"/>
  <c r="S57" i="4"/>
  <c r="T57" i="4" s="1"/>
  <c r="S508" i="4"/>
  <c r="T508" i="4" s="1"/>
  <c r="S496" i="4"/>
  <c r="T496" i="4" s="1"/>
  <c r="S484" i="4"/>
  <c r="T484" i="4" s="1"/>
  <c r="S472" i="4"/>
  <c r="T472" i="4" s="1"/>
  <c r="S460" i="4"/>
  <c r="T460" i="4" s="1"/>
  <c r="S448" i="4"/>
  <c r="T448" i="4" s="1"/>
  <c r="S436" i="4"/>
  <c r="T436" i="4" s="1"/>
  <c r="S424" i="4"/>
  <c r="T424" i="4" s="1"/>
  <c r="S412" i="4"/>
  <c r="T412" i="4" s="1"/>
  <c r="S400" i="4"/>
  <c r="T400" i="4" s="1"/>
  <c r="S388" i="4"/>
  <c r="T388" i="4" s="1"/>
  <c r="S376" i="4"/>
  <c r="T376" i="4" s="1"/>
  <c r="S364" i="4"/>
  <c r="T364" i="4" s="1"/>
  <c r="S352" i="4"/>
  <c r="T352" i="4" s="1"/>
  <c r="S340" i="4"/>
  <c r="T340" i="4" s="1"/>
  <c r="S328" i="4"/>
  <c r="T328" i="4" s="1"/>
  <c r="S316" i="4"/>
  <c r="T316" i="4" s="1"/>
  <c r="S304" i="4"/>
  <c r="T304" i="4" s="1"/>
  <c r="S292" i="4"/>
  <c r="T292" i="4" s="1"/>
  <c r="S280" i="4"/>
  <c r="T280" i="4" s="1"/>
  <c r="S268" i="4"/>
  <c r="T268" i="4" s="1"/>
  <c r="S256" i="4"/>
  <c r="T256" i="4" s="1"/>
  <c r="S244" i="4"/>
  <c r="T244" i="4" s="1"/>
  <c r="S232" i="4"/>
  <c r="T232" i="4" s="1"/>
  <c r="S220" i="4"/>
  <c r="T220" i="4" s="1"/>
  <c r="S208" i="4"/>
  <c r="T208" i="4" s="1"/>
  <c r="S196" i="4"/>
  <c r="T196" i="4" s="1"/>
  <c r="S184" i="4"/>
  <c r="T184" i="4" s="1"/>
  <c r="S172" i="4"/>
  <c r="T172" i="4" s="1"/>
  <c r="S160" i="4"/>
  <c r="T160" i="4" s="1"/>
  <c r="S148" i="4"/>
  <c r="T148" i="4" s="1"/>
  <c r="S136" i="4"/>
  <c r="T136" i="4" s="1"/>
  <c r="S124" i="4"/>
  <c r="T124" i="4" s="1"/>
  <c r="S112" i="4"/>
  <c r="T112" i="4" s="1"/>
  <c r="S100" i="4"/>
  <c r="T100" i="4" s="1"/>
  <c r="S88" i="4"/>
  <c r="T88" i="4" s="1"/>
  <c r="S76" i="4"/>
  <c r="T76" i="4" s="1"/>
  <c r="S64" i="4"/>
  <c r="T64" i="4" s="1"/>
  <c r="S52" i="4"/>
  <c r="T52" i="4" s="1"/>
  <c r="S40" i="4"/>
  <c r="T40" i="4" s="1"/>
  <c r="S28" i="4"/>
  <c r="T28" i="4" s="1"/>
  <c r="S16" i="4"/>
  <c r="T16" i="4" s="1"/>
  <c r="S4" i="4"/>
  <c r="T4" i="4" s="1"/>
  <c r="S69" i="4"/>
  <c r="T69" i="4" s="1"/>
  <c r="S507" i="4"/>
  <c r="T507" i="4" s="1"/>
  <c r="S495" i="4"/>
  <c r="T495" i="4" s="1"/>
  <c r="S483" i="4"/>
  <c r="T483" i="4" s="1"/>
  <c r="S471" i="4"/>
  <c r="T471" i="4" s="1"/>
  <c r="S459" i="4"/>
  <c r="T459" i="4" s="1"/>
  <c r="S447" i="4"/>
  <c r="T447" i="4" s="1"/>
  <c r="S435" i="4"/>
  <c r="T435" i="4" s="1"/>
  <c r="S423" i="4"/>
  <c r="T423" i="4" s="1"/>
  <c r="S411" i="4"/>
  <c r="T411" i="4" s="1"/>
  <c r="S399" i="4"/>
  <c r="T399" i="4" s="1"/>
  <c r="S387" i="4"/>
  <c r="T387" i="4" s="1"/>
  <c r="S375" i="4"/>
  <c r="T375" i="4" s="1"/>
  <c r="S363" i="4"/>
  <c r="T363" i="4" s="1"/>
  <c r="S351" i="4"/>
  <c r="T351" i="4" s="1"/>
  <c r="S339" i="4"/>
  <c r="T339" i="4" s="1"/>
  <c r="S327" i="4"/>
  <c r="T327" i="4" s="1"/>
  <c r="S315" i="4"/>
  <c r="T315" i="4" s="1"/>
  <c r="S303" i="4"/>
  <c r="T303" i="4" s="1"/>
  <c r="S291" i="4"/>
  <c r="T291" i="4" s="1"/>
  <c r="S279" i="4"/>
  <c r="T279" i="4" s="1"/>
  <c r="S267" i="4"/>
  <c r="T267" i="4" s="1"/>
  <c r="S255" i="4"/>
  <c r="T255" i="4" s="1"/>
  <c r="S243" i="4"/>
  <c r="T243" i="4" s="1"/>
  <c r="S231" i="4"/>
  <c r="T231" i="4" s="1"/>
  <c r="S219" i="4"/>
  <c r="T219" i="4" s="1"/>
  <c r="S207" i="4"/>
  <c r="T207" i="4" s="1"/>
  <c r="S195" i="4"/>
  <c r="T195" i="4" s="1"/>
  <c r="S183" i="4"/>
  <c r="T183" i="4" s="1"/>
  <c r="S171" i="4"/>
  <c r="T171" i="4" s="1"/>
  <c r="S159" i="4"/>
  <c r="T159" i="4" s="1"/>
  <c r="S147" i="4"/>
  <c r="T147" i="4" s="1"/>
  <c r="S135" i="4"/>
  <c r="T135" i="4" s="1"/>
  <c r="S123" i="4"/>
  <c r="T123" i="4" s="1"/>
  <c r="S111" i="4"/>
  <c r="T111" i="4" s="1"/>
  <c r="S99" i="4"/>
  <c r="T99" i="4" s="1"/>
  <c r="S87" i="4"/>
  <c r="T87" i="4" s="1"/>
  <c r="S75" i="4"/>
  <c r="T75" i="4" s="1"/>
  <c r="S63" i="4"/>
  <c r="T63" i="4" s="1"/>
  <c r="S51" i="4"/>
  <c r="T51" i="4" s="1"/>
  <c r="S39" i="4"/>
  <c r="T39" i="4" s="1"/>
  <c r="S27" i="4"/>
  <c r="T27" i="4" s="1"/>
  <c r="S15" i="4"/>
  <c r="T15" i="4" s="1"/>
  <c r="S3" i="4"/>
  <c r="T3" i="4" s="1"/>
  <c r="S477" i="4"/>
  <c r="T477" i="4" s="1"/>
  <c r="S429" i="4"/>
  <c r="T429" i="4" s="1"/>
  <c r="S381" i="4"/>
  <c r="T381" i="4" s="1"/>
  <c r="S345" i="4"/>
  <c r="T345" i="4" s="1"/>
  <c r="S309" i="4"/>
  <c r="T309" i="4" s="1"/>
  <c r="S261" i="4"/>
  <c r="T261" i="4" s="1"/>
  <c r="S201" i="4"/>
  <c r="T201" i="4" s="1"/>
  <c r="S153" i="4"/>
  <c r="T153" i="4" s="1"/>
  <c r="S129" i="4"/>
  <c r="T129" i="4" s="1"/>
  <c r="S105" i="4"/>
  <c r="T105" i="4" s="1"/>
  <c r="S21" i="4"/>
  <c r="T21" i="4" s="1"/>
  <c r="S506" i="4"/>
  <c r="T506" i="4" s="1"/>
  <c r="S494" i="4"/>
  <c r="T494" i="4" s="1"/>
  <c r="S482" i="4"/>
  <c r="T482" i="4" s="1"/>
  <c r="S470" i="4"/>
  <c r="T470" i="4" s="1"/>
  <c r="S458" i="4"/>
  <c r="T458" i="4" s="1"/>
  <c r="S446" i="4"/>
  <c r="T446" i="4" s="1"/>
  <c r="S434" i="4"/>
  <c r="T434" i="4" s="1"/>
  <c r="S422" i="4"/>
  <c r="T422" i="4" s="1"/>
  <c r="S410" i="4"/>
  <c r="T410" i="4" s="1"/>
  <c r="S398" i="4"/>
  <c r="T398" i="4" s="1"/>
  <c r="S386" i="4"/>
  <c r="T386" i="4" s="1"/>
  <c r="S374" i="4"/>
  <c r="T374" i="4" s="1"/>
  <c r="S362" i="4"/>
  <c r="T362" i="4" s="1"/>
  <c r="S350" i="4"/>
  <c r="T350" i="4" s="1"/>
  <c r="S338" i="4"/>
  <c r="T338" i="4" s="1"/>
  <c r="S326" i="4"/>
  <c r="T326" i="4" s="1"/>
  <c r="S314" i="4"/>
  <c r="T314" i="4" s="1"/>
  <c r="S302" i="4"/>
  <c r="T302" i="4" s="1"/>
  <c r="S290" i="4"/>
  <c r="T290" i="4" s="1"/>
  <c r="S278" i="4"/>
  <c r="T278" i="4" s="1"/>
  <c r="S266" i="4"/>
  <c r="T266" i="4" s="1"/>
  <c r="S254" i="4"/>
  <c r="T254" i="4" s="1"/>
  <c r="S242" i="4"/>
  <c r="T242" i="4" s="1"/>
  <c r="S230" i="4"/>
  <c r="T230" i="4" s="1"/>
  <c r="S218" i="4"/>
  <c r="T218" i="4" s="1"/>
  <c r="S206" i="4"/>
  <c r="T206" i="4" s="1"/>
  <c r="S194" i="4"/>
  <c r="T194" i="4" s="1"/>
  <c r="S182" i="4"/>
  <c r="T182" i="4" s="1"/>
  <c r="S170" i="4"/>
  <c r="T170" i="4" s="1"/>
  <c r="S158" i="4"/>
  <c r="T158" i="4" s="1"/>
  <c r="S146" i="4"/>
  <c r="T146" i="4" s="1"/>
  <c r="S134" i="4"/>
  <c r="T134" i="4" s="1"/>
  <c r="S122" i="4"/>
  <c r="T122" i="4" s="1"/>
  <c r="S110" i="4"/>
  <c r="T110" i="4" s="1"/>
  <c r="S98" i="4"/>
  <c r="T98" i="4" s="1"/>
  <c r="S86" i="4"/>
  <c r="T86" i="4" s="1"/>
  <c r="S74" i="4"/>
  <c r="T74" i="4" s="1"/>
  <c r="S62" i="4"/>
  <c r="T62" i="4" s="1"/>
  <c r="S50" i="4"/>
  <c r="T50" i="4" s="1"/>
  <c r="S38" i="4"/>
  <c r="T38" i="4" s="1"/>
  <c r="S26" i="4"/>
  <c r="T26" i="4" s="1"/>
  <c r="S14" i="4"/>
  <c r="T14" i="4" s="1"/>
  <c r="S2" i="4"/>
  <c r="T2" i="4" s="1"/>
</calcChain>
</file>

<file path=xl/sharedStrings.xml><?xml version="1.0" encoding="utf-8"?>
<sst xmlns="http://schemas.openxmlformats.org/spreadsheetml/2006/main" count="2415" uniqueCount="215">
  <si>
    <t>Item</t>
  </si>
  <si>
    <t>Part  #</t>
  </si>
  <si>
    <t>Description</t>
  </si>
  <si>
    <t>Quantity</t>
  </si>
  <si>
    <t>Unit Price</t>
  </si>
  <si>
    <t>Invoice</t>
  </si>
  <si>
    <t>Date</t>
  </si>
  <si>
    <t>Part Number</t>
  </si>
  <si>
    <t>Inkjet Printer - B&amp;W - 11 inch</t>
  </si>
  <si>
    <t>Inkjet Printer - Color - 11 inch</t>
  </si>
  <si>
    <t>Dot Matrix Printer - 11 inch - High Speed</t>
  </si>
  <si>
    <t>Laser Printer - 11 inch - B&amp;W - Standard Speed</t>
  </si>
  <si>
    <t>Laser Printer - 11 inch - B&amp;W - High Speed</t>
  </si>
  <si>
    <t>Laser Printer - 11 inch - Color - Standard Speed</t>
  </si>
  <si>
    <t>Laser Printer - 11 inch - Color - High Speed</t>
  </si>
  <si>
    <t>Inkjet All-in-One - Color - 11 inch</t>
  </si>
  <si>
    <t>Laser Printer - 17 inch - B&amp;W - Standard Speed</t>
  </si>
  <si>
    <t>Laser Printer - 17 inch - Color - High Speed</t>
  </si>
  <si>
    <t>Laser Printer - 17 inch - B&amp;W - High Speed</t>
  </si>
  <si>
    <t>Laser All-in-One - 11 inch B&amp;W High Speed</t>
  </si>
  <si>
    <t>Laser All-in-One - 11 inch Color High Speed</t>
  </si>
  <si>
    <t>Inkjet All-in-One - B&amp;W - 11 inch</t>
  </si>
  <si>
    <t>Laser All-in-One - 17 inch B&amp;W High Speed</t>
  </si>
  <si>
    <t>Laser All-in-One - 17 inch Color High Speed</t>
  </si>
  <si>
    <t>Serial cable - 10 feet</t>
  </si>
  <si>
    <t>Serial cable - 20 feet</t>
  </si>
  <si>
    <t>Parallel cable - 10 feet</t>
  </si>
  <si>
    <t>Parallel cable - 20 feet</t>
  </si>
  <si>
    <t>Ethernet cable - 10 feet</t>
  </si>
  <si>
    <t>Ethernet cable - 20 feet</t>
  </si>
  <si>
    <t>USB cable - 10 feet</t>
  </si>
  <si>
    <t>USB cable - 20 feet</t>
  </si>
  <si>
    <t>Power cord - 10 feet</t>
  </si>
  <si>
    <t>Power cord - 20 feet</t>
  </si>
  <si>
    <t>Product</t>
  </si>
  <si>
    <t>Accessories</t>
  </si>
  <si>
    <t>Consumables</t>
  </si>
  <si>
    <t>Dot Matrix Printer - 17 inch - High Speed</t>
  </si>
  <si>
    <t>Paper - Dot Matrix - 11 inches - Standard</t>
  </si>
  <si>
    <t>Paper - Dot Matrix - 17 inches - Standard</t>
  </si>
  <si>
    <t>Paper - Dot Matrix - 11 inches - Premium</t>
  </si>
  <si>
    <t>Paper - Dot Matrix - 17 inches - Premium</t>
  </si>
  <si>
    <t>Power supply - Standard</t>
  </si>
  <si>
    <t>Power supply - Premium</t>
  </si>
  <si>
    <t>Paper - Standard - 11 inches - Text Quality</t>
  </si>
  <si>
    <t>Paper - Standard - 17 inches - Text Quality</t>
  </si>
  <si>
    <t>Paper - Standard - 11 inches - Photo Quality</t>
  </si>
  <si>
    <t>Paper - Standard - 17 inches - Photo Quality</t>
  </si>
  <si>
    <t>Printer Ribbon Dot Matrix - Standard</t>
  </si>
  <si>
    <t>Printer Ribbon Dot Matrix - Premium</t>
  </si>
  <si>
    <t>Black Toner InkJet Printer</t>
  </si>
  <si>
    <t>Color Toner Pack Inkjet Printer</t>
  </si>
  <si>
    <t>Black Toner Laser Printer</t>
  </si>
  <si>
    <t>Color Toner Pack Laser Printer</t>
  </si>
  <si>
    <t>Cleaning Kit - Dot Matrix Printer</t>
  </si>
  <si>
    <t>Cleaning Kit - Laser Printer</t>
  </si>
  <si>
    <t>Cleaning Kit - Inkjet Printer</t>
  </si>
  <si>
    <t>Account</t>
  </si>
  <si>
    <t>Customer Name</t>
  </si>
  <si>
    <t>State</t>
  </si>
  <si>
    <t>Type</t>
  </si>
  <si>
    <t>Johnson Auto Group</t>
  </si>
  <si>
    <t>Georgia</t>
  </si>
  <si>
    <t>McKesson Auto Group</t>
  </si>
  <si>
    <t>Florida</t>
  </si>
  <si>
    <t>Cammarano Automotive</t>
  </si>
  <si>
    <t>North Carolina</t>
  </si>
  <si>
    <t>Jackson Motors</t>
  </si>
  <si>
    <t>South Carolina</t>
  </si>
  <si>
    <t>JS Automotive</t>
  </si>
  <si>
    <t>Tennessee</t>
  </si>
  <si>
    <t>Hardman Financial Management</t>
  </si>
  <si>
    <t>Erwin Mortgage</t>
  </si>
  <si>
    <t>O'Neil Motoring</t>
  </si>
  <si>
    <t>North Georgia Consolidated Financial</t>
  </si>
  <si>
    <t>Gulf Coast Motors</t>
  </si>
  <si>
    <t>Alabama</t>
  </si>
  <si>
    <t>Birmingham Automotive Group</t>
  </si>
  <si>
    <t>Automotive</t>
  </si>
  <si>
    <t>Financial</t>
  </si>
  <si>
    <t>Macon Financial Title Company</t>
  </si>
  <si>
    <t>Jefferson Mortgage</t>
  </si>
  <si>
    <t>Godderis Automotive Group</t>
  </si>
  <si>
    <t>Briggs Motoring Company</t>
  </si>
  <si>
    <t>McAndrews Automotive</t>
  </si>
  <si>
    <t>Sullivan Motors</t>
  </si>
  <si>
    <t>First Trust Financial</t>
  </si>
  <si>
    <t>Federal Tech Mortgage Brokers</t>
  </si>
  <si>
    <t>Dot Matrix Printer - 11 inch - Std Speed</t>
  </si>
  <si>
    <t>Dot Matrix Printer - 17 inch - Std Speed</t>
  </si>
  <si>
    <t>P1101</t>
  </si>
  <si>
    <t>P1103</t>
  </si>
  <si>
    <t>P1105</t>
  </si>
  <si>
    <t>P1107</t>
  </si>
  <si>
    <t>P1201</t>
  </si>
  <si>
    <t>P1203</t>
  </si>
  <si>
    <t>P1204</t>
  </si>
  <si>
    <t>P1205</t>
  </si>
  <si>
    <t>P1301</t>
  </si>
  <si>
    <t>P1302</t>
  </si>
  <si>
    <t>P1303</t>
  </si>
  <si>
    <t>P1304</t>
  </si>
  <si>
    <t>P1305</t>
  </si>
  <si>
    <t>P1306</t>
  </si>
  <si>
    <t>P1307</t>
  </si>
  <si>
    <t>P1308</t>
  </si>
  <si>
    <t>P1309</t>
  </si>
  <si>
    <t>P1310</t>
  </si>
  <si>
    <t>P1311</t>
  </si>
  <si>
    <t>A2101</t>
  </si>
  <si>
    <t>A2102</t>
  </si>
  <si>
    <t>A2104</t>
  </si>
  <si>
    <t>A2105</t>
  </si>
  <si>
    <t>A2107</t>
  </si>
  <si>
    <t>A2108</t>
  </si>
  <si>
    <t>A2110</t>
  </si>
  <si>
    <t>A2113</t>
  </si>
  <si>
    <t>A2114</t>
  </si>
  <si>
    <t>A2116</t>
  </si>
  <si>
    <t>A2117</t>
  </si>
  <si>
    <t>A2118</t>
  </si>
  <si>
    <t>A2119</t>
  </si>
  <si>
    <t>A2120</t>
  </si>
  <si>
    <t>C5101</t>
  </si>
  <si>
    <t>C5102</t>
  </si>
  <si>
    <t>C5103</t>
  </si>
  <si>
    <t>C5104</t>
  </si>
  <si>
    <t>C5105</t>
  </si>
  <si>
    <t>C5106</t>
  </si>
  <si>
    <t>C5107</t>
  </si>
  <si>
    <t>C5108</t>
  </si>
  <si>
    <t>C5109</t>
  </si>
  <si>
    <t>C5110</t>
  </si>
  <si>
    <t>C5111</t>
  </si>
  <si>
    <t>C5112</t>
  </si>
  <si>
    <t>C5113</t>
  </si>
  <si>
    <t>C5114</t>
  </si>
  <si>
    <t>A2111</t>
  </si>
  <si>
    <t>Customer Account</t>
  </si>
  <si>
    <t>Damaged in transit</t>
  </si>
  <si>
    <t>Reason Code</t>
  </si>
  <si>
    <t>Return</t>
  </si>
  <si>
    <t>Customer Ordered Wrong Part</t>
  </si>
  <si>
    <t>Defective Product</t>
  </si>
  <si>
    <t>Not needed</t>
  </si>
  <si>
    <t>Damaged in Transit</t>
  </si>
  <si>
    <t>Document Type</t>
  </si>
  <si>
    <t>Document Number</t>
  </si>
  <si>
    <t>Product Line</t>
  </si>
  <si>
    <t>Product Cost</t>
  </si>
  <si>
    <t>Sr. No.</t>
  </si>
  <si>
    <t>Name</t>
  </si>
  <si>
    <t>Negative value for return transaction</t>
  </si>
  <si>
    <t>Categorise product - Premium, Basic, Free, Return</t>
  </si>
  <si>
    <t>Col. Name</t>
  </si>
  <si>
    <t>New Unit Price</t>
  </si>
  <si>
    <t>Product Value</t>
  </si>
  <si>
    <t>Tool</t>
  </si>
  <si>
    <t>Nested IF</t>
  </si>
  <si>
    <t>IF</t>
  </si>
  <si>
    <t>Unit Cost</t>
  </si>
  <si>
    <t>VLOOKUP</t>
  </si>
  <si>
    <t>Customer Type</t>
  </si>
  <si>
    <t>Get Type (from Customers table)</t>
  </si>
  <si>
    <t>Get Unit Cost (from Products table)</t>
  </si>
  <si>
    <t>Get Product Line (from Products table)</t>
  </si>
  <si>
    <t>Create calc. cols.</t>
  </si>
  <si>
    <t>Cost</t>
  </si>
  <si>
    <t>Revenue</t>
  </si>
  <si>
    <t>Profit</t>
  </si>
  <si>
    <t>Profit Margin</t>
  </si>
  <si>
    <t>Analysis</t>
  </si>
  <si>
    <t>Get Region (from Customers table)</t>
  </si>
  <si>
    <t>Region vs Cust Type</t>
  </si>
  <si>
    <t>Region vs Product Line</t>
  </si>
  <si>
    <t>Free Product Analysis</t>
  </si>
  <si>
    <t>Value of Product Analysis</t>
  </si>
  <si>
    <t>Pivot Tables</t>
  </si>
  <si>
    <t>Formulas</t>
  </si>
  <si>
    <t>Calc. Field</t>
  </si>
  <si>
    <t>Customer Region</t>
  </si>
  <si>
    <t>Row Labels</t>
  </si>
  <si>
    <t>Grand Total</t>
  </si>
  <si>
    <t>Sum of Revenue</t>
  </si>
  <si>
    <t>Column Labels</t>
  </si>
  <si>
    <t>Total Sum of Revenue</t>
  </si>
  <si>
    <t>Sum of Profit Margin</t>
  </si>
  <si>
    <t>Sum of Cost</t>
  </si>
  <si>
    <t>Total Sum of Cost</t>
  </si>
  <si>
    <t>(All)</t>
  </si>
  <si>
    <t>Month</t>
  </si>
  <si>
    <t>Quarter</t>
  </si>
  <si>
    <t>Profit Margin %</t>
  </si>
  <si>
    <t>TOTAL REVENUE</t>
  </si>
  <si>
    <t>TOTAL COST</t>
  </si>
  <si>
    <t>TOTAL PROFIT</t>
  </si>
  <si>
    <t>OVERALL PROFIT MARGIN</t>
  </si>
  <si>
    <t>SALES DASHBOARD</t>
  </si>
  <si>
    <t>Extract month from dateMonthTEXT Formula</t>
  </si>
  <si>
    <t>Extract quarter from date</t>
  </si>
  <si>
    <t>Calculate profit margin per row</t>
  </si>
  <si>
    <t>KPI - Total Revenue</t>
  </si>
  <si>
    <t>KPI - Total Cost</t>
  </si>
  <si>
    <t>KPI - Total Profit</t>
  </si>
  <si>
    <t>KPI - Overall Profit Margin %</t>
  </si>
  <si>
    <t>Return analysis by reason code</t>
  </si>
  <si>
    <t>Returns by reason code visual</t>
  </si>
  <si>
    <t>Interactive date filter</t>
  </si>
  <si>
    <t>Interactive filters for all charts</t>
  </si>
  <si>
    <t>Sales Dashboard with dark theme</t>
  </si>
  <si>
    <t>DashBoard</t>
  </si>
  <si>
    <t>Return Analysis Sheet</t>
  </si>
  <si>
    <t>Timeline Slicer</t>
  </si>
  <si>
    <t>Slicer</t>
  </si>
  <si>
    <t>Charts + Formatting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</si>
</sst>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quot;$&quot;* #,##0.00_);_(&quot;$&quot;* \(#,##0.00\);_(&quot;$&quot;* &quot;-&quot;??_);_(@_)"/>
    <numFmt numFmtId="165" formatCode="[$-409]d\-mmm\-yy;@"/>
    <numFmt numFmtId="166" formatCode="m/d/yy;@"/>
    <numFmt numFmtId="167" formatCode="[$-14009]dd\ mmmm\ yyyy;@"/>
    <numFmt numFmtId="168" formatCode="[$$-409]#,##0.00"/>
    <numFmt numFmtId="169" formatCode="_-[$$-409]* #,##0.00_ ;_-[$$-409]* \-#,##0.00\ ;_-[$$-409]* &quot;-&quot;??_ ;_-@_ "/>
    <numFmt numFmtId="170" formatCode="_-[$$-C09]* #,##0.00_-;\-[$$-C09]* #,##0.00_-;_-[$$-C09]* &quot;-&quot;??_-;_-@_-"/>
  </numFmts>
  <fonts count="7" x14ac:knownFonts="1">
    <font>
      <sz val="11"/>
      <color theme="1"/>
      <name val="Calibri"/>
      <family val="2"/>
      <scheme val="minor"/>
    </font>
    <font>
      <sz val="11"/>
      <color theme="1"/>
      <name val="Calibri"/>
      <family val="2"/>
      <scheme val="minor"/>
    </font>
    <font>
      <sz val="11"/>
      <color rgb="FF000000"/>
      <name val="Calibri"/>
      <family val="2"/>
      <scheme val="minor"/>
    </font>
    <font>
      <b/>
      <sz val="11"/>
      <color theme="0"/>
      <name val="Calibri"/>
      <family val="2"/>
      <scheme val="minor"/>
    </font>
    <font>
      <b/>
      <sz val="16"/>
      <color theme="0"/>
      <name val="Calibri"/>
      <family val="2"/>
      <scheme val="minor"/>
    </font>
    <font>
      <b/>
      <sz val="16"/>
      <color theme="3" tint="-0.249977111117893"/>
      <name val="Calibri"/>
      <family val="2"/>
      <scheme val="minor"/>
    </font>
    <font>
      <b/>
      <sz val="22"/>
      <color theme="0"/>
      <name val="Calibri"/>
      <family val="2"/>
      <scheme val="minor"/>
    </font>
  </fonts>
  <fills count="6">
    <fill>
      <patternFill patternType="none"/>
    </fill>
    <fill>
      <patternFill patternType="gray125"/>
    </fill>
    <fill>
      <patternFill patternType="solid">
        <fgColor rgb="FFFFC000"/>
        <bgColor indexed="64"/>
      </patternFill>
    </fill>
    <fill>
      <patternFill patternType="solid">
        <fgColor rgb="FF1F3864"/>
        <bgColor indexed="64"/>
      </patternFill>
    </fill>
    <fill>
      <patternFill patternType="solid">
        <fgColor rgb="FF4169E1"/>
        <bgColor indexed="64"/>
      </patternFill>
    </fill>
    <fill>
      <patternFill patternType="solid">
        <fgColor theme="3" tint="-0.249977111117893"/>
        <bgColor indexed="64"/>
      </patternFill>
    </fill>
  </fills>
  <borders count="6">
    <border>
      <left/>
      <right/>
      <top/>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s>
  <cellStyleXfs count="2">
    <xf numFmtId="0" fontId="0" fillId="0" borderId="0"/>
    <xf numFmtId="164" fontId="1" fillId="0" borderId="0" applyFont="0" applyFill="0" applyBorder="0" applyAlignment="0" applyProtection="0"/>
  </cellStyleXfs>
  <cellXfs count="42">
    <xf numFmtId="0" fontId="0" fillId="0" borderId="0" xfId="0"/>
    <xf numFmtId="0" fontId="0" fillId="0" borderId="0" xfId="0" applyAlignment="1">
      <alignment horizontal="center"/>
    </xf>
    <xf numFmtId="0" fontId="0" fillId="0" borderId="0" xfId="0" applyAlignment="1">
      <alignment horizontal="left"/>
    </xf>
    <xf numFmtId="0" fontId="0" fillId="0" borderId="0" xfId="0" applyAlignment="1">
      <alignment vertical="top"/>
    </xf>
    <xf numFmtId="0" fontId="0" fillId="0" borderId="1" xfId="0" applyBorder="1"/>
    <xf numFmtId="166" fontId="0" fillId="0" borderId="0" xfId="0" applyNumberFormat="1" applyAlignment="1">
      <alignment horizontal="right"/>
    </xf>
    <xf numFmtId="0" fontId="0" fillId="0" borderId="0" xfId="0" applyAlignment="1">
      <alignment horizontal="right"/>
    </xf>
    <xf numFmtId="165" fontId="0" fillId="0" borderId="0" xfId="0" applyNumberFormat="1" applyAlignment="1">
      <alignment horizontal="right"/>
    </xf>
    <xf numFmtId="49" fontId="0" fillId="0" borderId="1" xfId="0" applyNumberFormat="1" applyBorder="1" applyAlignment="1">
      <alignment horizontal="right"/>
    </xf>
    <xf numFmtId="0" fontId="0" fillId="0" borderId="1" xfId="0" applyBorder="1" applyAlignment="1">
      <alignment horizontal="right"/>
    </xf>
    <xf numFmtId="0" fontId="0" fillId="0" borderId="1" xfId="0" applyBorder="1" applyAlignment="1">
      <alignment horizontal="left"/>
    </xf>
    <xf numFmtId="0" fontId="2" fillId="0" borderId="1" xfId="0" applyFont="1" applyBorder="1" applyAlignment="1">
      <alignment vertical="top" wrapText="1"/>
    </xf>
    <xf numFmtId="165" fontId="2" fillId="0" borderId="1" xfId="0" applyNumberFormat="1" applyFont="1" applyBorder="1" applyAlignment="1">
      <alignment horizontal="left" vertical="top" wrapText="1"/>
    </xf>
    <xf numFmtId="0" fontId="2" fillId="0" borderId="1" xfId="0" applyFont="1" applyBorder="1" applyAlignment="1">
      <alignment horizontal="left" vertical="top" wrapText="1"/>
    </xf>
    <xf numFmtId="0" fontId="2" fillId="0" borderId="1" xfId="0" applyFont="1" applyBorder="1" applyAlignment="1">
      <alignment horizontal="right" vertical="top" wrapText="1"/>
    </xf>
    <xf numFmtId="167" fontId="0" fillId="0" borderId="1" xfId="0" applyNumberFormat="1" applyBorder="1" applyAlignment="1">
      <alignment horizontal="right"/>
    </xf>
    <xf numFmtId="168" fontId="2" fillId="0" borderId="1" xfId="0" applyNumberFormat="1" applyFont="1" applyBorder="1" applyAlignment="1">
      <alignment horizontal="right" vertical="top" wrapText="1"/>
    </xf>
    <xf numFmtId="168" fontId="0" fillId="0" borderId="0" xfId="0" applyNumberFormat="1"/>
    <xf numFmtId="0" fontId="2" fillId="0" borderId="2" xfId="0" applyFont="1" applyBorder="1" applyAlignment="1">
      <alignment vertical="top" wrapText="1"/>
    </xf>
    <xf numFmtId="0" fontId="0" fillId="0" borderId="2" xfId="0" applyBorder="1" applyAlignment="1">
      <alignment horizontal="left"/>
    </xf>
    <xf numFmtId="0" fontId="0" fillId="0" borderId="2" xfId="0" applyBorder="1"/>
    <xf numFmtId="0" fontId="0" fillId="0" borderId="3" xfId="0" applyBorder="1"/>
    <xf numFmtId="0" fontId="0" fillId="0" borderId="2" xfId="0" applyBorder="1" applyAlignment="1">
      <alignment horizontal="center"/>
    </xf>
    <xf numFmtId="169" fontId="1" fillId="0" borderId="1" xfId="1" applyNumberFormat="1" applyFont="1" applyFill="1" applyBorder="1"/>
    <xf numFmtId="0" fontId="0" fillId="2" borderId="0" xfId="0" applyFill="1"/>
    <xf numFmtId="169" fontId="0" fillId="0" borderId="0" xfId="0" applyNumberFormat="1"/>
    <xf numFmtId="0" fontId="0" fillId="0" borderId="0" xfId="0" pivotButton="1"/>
    <xf numFmtId="10" fontId="0" fillId="0" borderId="0" xfId="0" applyNumberFormat="1"/>
    <xf numFmtId="170" fontId="0" fillId="0" borderId="0" xfId="0" applyNumberFormat="1"/>
    <xf numFmtId="0" fontId="0" fillId="0" borderId="0" xfId="0" applyNumberFormat="1"/>
    <xf numFmtId="9" fontId="0" fillId="0" borderId="0" xfId="0" applyNumberFormat="1"/>
    <xf numFmtId="0" fontId="0" fillId="3" borderId="0" xfId="0" applyFill="1"/>
    <xf numFmtId="0" fontId="3" fillId="3" borderId="0" xfId="0" applyFont="1" applyFill="1"/>
    <xf numFmtId="0" fontId="5" fillId="3" borderId="0" xfId="0" applyFont="1" applyFill="1"/>
    <xf numFmtId="169" fontId="0" fillId="3" borderId="0" xfId="0" applyNumberFormat="1" applyFill="1" applyAlignment="1">
      <alignment horizontal="center" vertical="center"/>
    </xf>
    <xf numFmtId="169" fontId="0" fillId="3" borderId="0" xfId="0" applyNumberFormat="1" applyFill="1"/>
    <xf numFmtId="9" fontId="0" fillId="3" borderId="0" xfId="0" applyNumberFormat="1" applyFill="1"/>
    <xf numFmtId="0" fontId="3" fillId="4" borderId="4" xfId="0" applyFont="1" applyFill="1" applyBorder="1" applyAlignment="1">
      <alignment horizontal="center"/>
    </xf>
    <xf numFmtId="169" fontId="4" fillId="3" borderId="5" xfId="0" applyNumberFormat="1" applyFont="1" applyFill="1" applyBorder="1" applyAlignment="1">
      <alignment horizontal="center" vertical="center"/>
    </xf>
    <xf numFmtId="169" fontId="4" fillId="3" borderId="5" xfId="0" applyNumberFormat="1" applyFont="1" applyFill="1" applyBorder="1" applyAlignment="1">
      <alignment horizontal="center"/>
    </xf>
    <xf numFmtId="9" fontId="4" fillId="3" borderId="5" xfId="0" applyNumberFormat="1" applyFont="1" applyFill="1" applyBorder="1" applyAlignment="1">
      <alignment horizontal="center"/>
    </xf>
    <xf numFmtId="0" fontId="6" fillId="5" borderId="0" xfId="0" applyFont="1" applyFill="1" applyAlignment="1">
      <alignment horizontal="center" vertical="center"/>
    </xf>
  </cellXfs>
  <cellStyles count="2">
    <cellStyle name="Currency" xfId="1" builtinId="4"/>
    <cellStyle name="Normal" xfId="0" builtinId="0"/>
  </cellStyles>
  <dxfs count="43">
    <dxf>
      <numFmt numFmtId="170" formatCode="_-[$$-C09]* #,##0.00_-;\-[$$-C09]* #,##0.00_-;_-[$$-C09]* &quot;-&quot;??_-;_-@_-"/>
    </dxf>
    <dxf>
      <numFmt numFmtId="170" formatCode="_-[$$-C09]* #,##0.00_-;\-[$$-C09]* #,##0.00_-;_-[$$-C09]* &quot;-&quot;??_-;_-@_-"/>
    </dxf>
    <dxf>
      <numFmt numFmtId="170" formatCode="_-[$$-C09]* #,##0.00_-;\-[$$-C09]* #,##0.00_-;_-[$$-C09]* &quot;-&quot;??_-;_-@_-"/>
    </dxf>
    <dxf>
      <numFmt numFmtId="13" formatCode="0%"/>
    </dxf>
    <dxf>
      <numFmt numFmtId="0" formatCode="General"/>
    </dxf>
    <dxf>
      <numFmt numFmtId="169" formatCode="_-[$$-409]* #,##0.00_ ;_-[$$-409]* \-#,##0.00\ ;_-[$$-409]* &quot;-&quot;??_ ;_-@_ "/>
    </dxf>
    <dxf>
      <numFmt numFmtId="14" formatCode="0.00%"/>
    </dxf>
    <dxf>
      <numFmt numFmtId="169" formatCode="_-[$$-409]* #,##0.00_ ;_-[$$-409]* \-#,##0.00\ ;_-[$$-409]* &quot;-&quot;??_ ;_-@_ "/>
    </dxf>
    <dxf>
      <numFmt numFmtId="169" formatCode="_-[$$-409]* #,##0.00_ ;_-[$$-409]* \-#,##0.00\ ;_-[$$-409]* &quot;-&quot;??_ ;_-@_ "/>
    </dxf>
    <dxf>
      <numFmt numFmtId="169" formatCode="_-[$$-409]* #,##0.00_ ;_-[$$-409]* \-#,##0.00\ ;_-[$$-409]* &quot;-&quot;??_ ;_-@_ "/>
    </dxf>
    <dxf>
      <numFmt numFmtId="0" formatCode="General"/>
    </dxf>
    <dxf>
      <numFmt numFmtId="0" formatCode="General"/>
    </dxf>
    <dxf>
      <numFmt numFmtId="0" formatCode="General"/>
    </dxf>
    <dxf>
      <numFmt numFmtId="0" formatCode="General"/>
    </dxf>
    <dxf>
      <numFmt numFmtId="0" formatCode="General"/>
    </dxf>
    <dxf>
      <numFmt numFmtId="0" formatCode="General"/>
    </dxf>
    <dxf>
      <font>
        <b val="0"/>
        <i val="0"/>
        <strike val="0"/>
        <condense val="0"/>
        <extend val="0"/>
        <outline val="0"/>
        <shadow val="0"/>
        <u val="none"/>
        <vertAlign val="baseline"/>
        <sz val="11"/>
        <color theme="1"/>
        <name val="Calibri"/>
        <family val="2"/>
        <scheme val="minor"/>
      </font>
      <numFmt numFmtId="169" formatCode="_-[$$-409]* #,##0.00_ ;_-[$$-409]* \-#,##0.00\ ;_-[$$-409]* &quot;-&quot;??_ ;_-@_ "/>
      <fill>
        <patternFill patternType="none">
          <fgColor indexed="64"/>
          <bgColor indexed="65"/>
        </patternFill>
      </fill>
      <border diagonalUp="0" diagonalDown="0" outline="0">
        <left style="thin">
          <color indexed="64"/>
        </left>
        <right/>
        <top style="thin">
          <color indexed="64"/>
        </top>
        <bottom/>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bottom"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theme="1"/>
        <name val="Calibri"/>
        <family val="2"/>
        <scheme val="minor"/>
      </font>
      <numFmt numFmtId="30" formatCode="@"/>
      <fill>
        <patternFill patternType="none">
          <fgColor indexed="64"/>
          <bgColor indexed="65"/>
        </patternFill>
      </fill>
      <alignment horizontal="right" vertical="bottom"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bottom"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right" vertical="bottom"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theme="1"/>
        <name val="Calibri"/>
        <family val="2"/>
        <scheme val="minor"/>
      </font>
      <numFmt numFmtId="167" formatCode="[$-14009]dd\ mmmm\ yyyy;@"/>
      <fill>
        <patternFill patternType="none">
          <fgColor indexed="64"/>
          <bgColor indexed="65"/>
        </patternFill>
      </fill>
      <alignment horizontal="right" vertical="bottom"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right" vertical="bottom"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left" vertical="bottom" textRotation="0" wrapText="0" indent="0" justifyLastLine="0" shrinkToFit="0" readingOrder="0"/>
      <border diagonalUp="0" diagonalDown="0">
        <left/>
        <right/>
        <top style="thin">
          <color indexed="64"/>
        </top>
        <bottom/>
        <vertical/>
        <horizontal/>
      </border>
    </dxf>
    <dxf>
      <border outline="0">
        <left style="thin">
          <color indexed="64"/>
        </left>
      </border>
    </dxf>
    <dxf>
      <fill>
        <patternFill patternType="solid">
          <fgColor indexed="64"/>
          <bgColor rgb="FFFFC000"/>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center" vertical="bottom" textRotation="0" wrapText="0" indent="0" justifyLastLine="0" shrinkToFit="0" readingOrder="0"/>
      <border diagonalUp="0" diagonalDown="0">
        <left/>
        <right/>
        <top style="thin">
          <color indexed="64"/>
        </top>
        <bottom/>
        <vertical/>
        <horizontal/>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border diagonalUp="0" diagonalDown="0">
        <left/>
        <right/>
        <top style="thin">
          <color indexed="64"/>
        </top>
        <bottom/>
        <vertical/>
        <horizontal/>
      </border>
    </dxf>
    <dxf>
      <border outline="0">
        <left style="thin">
          <color indexed="64"/>
        </left>
        <right style="thin">
          <color indexed="64"/>
        </right>
        <top style="thin">
          <color indexed="64"/>
        </top>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border diagonalUp="0" diagonalDown="0" outline="0">
        <left style="thin">
          <color indexed="64"/>
        </left>
        <right style="thin">
          <color indexed="64"/>
        </right>
        <top/>
        <bottom/>
      </border>
    </dxf>
  </dxfs>
  <tableStyles count="0" defaultTableStyle="TableStyleMedium2" defaultPivotStyle="PivotStyleLight16"/>
  <colors>
    <mruColors>
      <color rgb="FF1F3864"/>
      <color rgb="FF4169E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11/relationships/timelineCache" Target="timelineCaches/timelineCach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4.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[Case Study Ajmal.xlsx]Return_Analysis Sheet!PivotTable1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Returns by Reason Code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pivotFmt>
    </c:pivotFmts>
    <c:plotArea>
      <c:layout/>
      <c:barChart>
        <c:barDir val="bar"/>
        <c:grouping val="clustered"/>
        <c:varyColors val="0"/>
        <c:ser>
          <c:idx val="0"/>
          <c:order val="0"/>
          <c:tx>
            <c:strRef>
              <c:f>'Return_Analysis Sheet'!$B$3</c:f>
              <c:strCache>
                <c:ptCount val="1"/>
                <c:pt idx="0">
                  <c:v>Total</c:v>
                </c:pt>
              </c:strCache>
            </c:strRef>
          </c:tx>
          <c:spPr>
            <a:solidFill>
              <a:schemeClr val="accent1"/>
            </a:solidFill>
            <a:ln>
              <a:noFill/>
            </a:ln>
            <a:effectLst/>
          </c:spPr>
          <c:invertIfNegative val="0"/>
          <c:cat>
            <c:strRef>
              <c:f>'Return_Analysis Sheet'!$A$4:$A$8</c:f>
              <c:strCache>
                <c:ptCount val="4"/>
                <c:pt idx="0">
                  <c:v>Customer Ordered Wrong Part</c:v>
                </c:pt>
                <c:pt idx="1">
                  <c:v>Damaged in transit</c:v>
                </c:pt>
                <c:pt idx="2">
                  <c:v>Defective Product</c:v>
                </c:pt>
                <c:pt idx="3">
                  <c:v>Not needed</c:v>
                </c:pt>
              </c:strCache>
            </c:strRef>
          </c:cat>
          <c:val>
            <c:numRef>
              <c:f>'Return_Analysis Sheet'!$B$4:$B$8</c:f>
              <c:numCache>
                <c:formatCode>_-[$$-409]* #,##0.00_ ;_-[$$-409]* \-#,##0.00\ ;_-[$$-409]* "-"??_ ;_-@_ </c:formatCode>
                <c:ptCount val="4"/>
                <c:pt idx="0">
                  <c:v>-450</c:v>
                </c:pt>
                <c:pt idx="1">
                  <c:v>-7850</c:v>
                </c:pt>
                <c:pt idx="2">
                  <c:v>-7900</c:v>
                </c:pt>
                <c:pt idx="3">
                  <c:v>-3070</c:v>
                </c:pt>
              </c:numCache>
            </c:numRef>
          </c:val>
          <c:extLst>
            <c:ext xmlns:c16="http://schemas.microsoft.com/office/drawing/2014/chart" uri="{C3380CC4-5D6E-409C-BE32-E72D297353CC}">
              <c16:uniqueId val="{00000000-66A2-4142-860E-0A7DCFF7B8F1}"/>
            </c:ext>
          </c:extLst>
        </c:ser>
        <c:dLbls>
          <c:dLblPos val="outEnd"/>
          <c:showLegendKey val="0"/>
          <c:showVal val="0"/>
          <c:showCatName val="0"/>
          <c:showSerName val="0"/>
          <c:showPercent val="0"/>
          <c:showBubbleSize val="0"/>
        </c:dLbls>
        <c:gapWidth val="182"/>
        <c:axId val="961491088"/>
        <c:axId val="961510768"/>
      </c:barChart>
      <c:catAx>
        <c:axId val="96149108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1510768"/>
        <c:crosses val="autoZero"/>
        <c:auto val="1"/>
        <c:lblAlgn val="ctr"/>
        <c:lblOffset val="100"/>
        <c:noMultiLvlLbl val="0"/>
      </c:catAx>
      <c:valAx>
        <c:axId val="961510768"/>
        <c:scaling>
          <c:orientation val="minMax"/>
        </c:scaling>
        <c:delete val="0"/>
        <c:axPos val="b"/>
        <c:numFmt formatCode="\$#,##0;\$#,##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1491088"/>
        <c:crosses val="autoZero"/>
        <c:crossBetween val="between"/>
      </c:valAx>
      <c:dTable>
        <c:showHorzBorder val="1"/>
        <c:showVertBorder val="1"/>
        <c:showOutline val="1"/>
        <c:showKeys val="1"/>
        <c:spPr>
          <a:noFill/>
          <a:ln w="12700" cap="flat" cmpd="sng" algn="ctr">
            <a:solidFill>
              <a:schemeClr val="accent1">
                <a:lumMod val="60000"/>
                <a:lumOff val="40000"/>
                <a:alpha val="82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[Case Study Ajmal.xlsx]Region vs cust type!PivotTable2</c:name>
    <c:fmtId val="28"/>
  </c:pivotSource>
  <c:chart>
    <c:title>
      <c:tx>
        <c:rich>
          <a:bodyPr rot="0" spcFirstLastPara="1" vertOverflow="ellipsis" vert="horz" wrap="square" anchor="ctr" anchorCtr="1"/>
          <a:lstStyle/>
          <a:p>
            <a:pPr>
              <a:defRPr sz="1600" b="1" i="0" u="none" strike="noStrike" kern="1200" baseline="0">
                <a:solidFill>
                  <a:schemeClr val="tx2">
                    <a:lumMod val="75000"/>
                  </a:schemeClr>
                </a:solidFill>
                <a:latin typeface="+mn-lt"/>
                <a:ea typeface="+mn-ea"/>
                <a:cs typeface="+mn-cs"/>
              </a:defRPr>
            </a:pPr>
            <a:r>
              <a:rPr lang="en-IN" sz="1400" b="1" i="0" u="none" strike="noStrike" baseline="0">
                <a:solidFill>
                  <a:schemeClr val="tx2">
                    <a:lumMod val="75000"/>
                  </a:schemeClr>
                </a:solidFill>
              </a:rPr>
              <a:t>Region vs Customer Type</a:t>
            </a:r>
            <a:endParaRPr lang="en-IN" sz="1400">
              <a:solidFill>
                <a:schemeClr val="tx2">
                  <a:lumMod val="75000"/>
                </a:schemeClr>
              </a:solidFill>
            </a:endParaRPr>
          </a:p>
        </c:rich>
      </c:tx>
      <c:layout>
        <c:manualLayout>
          <c:xMode val="edge"/>
          <c:yMode val="edge"/>
          <c:x val="0.37945520030988811"/>
          <c:y val="1.2846657441350457E-2"/>
        </c:manualLayout>
      </c:layout>
      <c:overlay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8000">
              <a:schemeClr val="accent1">
                <a:lumMod val="30000"/>
                <a:lumOff val="70000"/>
              </a:schemeClr>
            </a:gs>
          </a:gsLst>
          <a:lin ang="5400000" scaled="1"/>
        </a:gradFill>
        <a:ln w="9525">
          <a:solidFill>
            <a:schemeClr val="accent1">
              <a:lumMod val="50000"/>
            </a:schemeClr>
          </a:solidFill>
        </a:ln>
        <a:effectLst/>
      </c:spPr>
      <c:txPr>
        <a:bodyPr rot="0" spcFirstLastPara="1" vertOverflow="ellipsis" vert="horz" wrap="square" anchor="ctr" anchorCtr="1"/>
        <a:lstStyle/>
        <a:p>
          <a:pPr>
            <a:defRPr sz="1600" b="1" i="0" u="none" strike="noStrike" kern="1200" baseline="0">
              <a:solidFill>
                <a:schemeClr val="tx2">
                  <a:lumMod val="75000"/>
                </a:schemeClr>
              </a:solidFill>
              <a:latin typeface="+mn-lt"/>
              <a:ea typeface="+mn-ea"/>
              <a:cs typeface="+mn-cs"/>
            </a:defRPr>
          </a:pPr>
          <a:endParaRPr lang="en-US"/>
        </a:p>
      </c:txPr>
    </c:title>
    <c:autoTitleDeleted val="0"/>
    <c:pivotFmts>
      <c:pivotFmt>
        <c:idx val="0"/>
      </c:pivotFmt>
      <c:pivotFmt>
        <c:idx val="1"/>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76000"/>
                    <a:shade val="51000"/>
                    <a:satMod val="130000"/>
                  </a:schemeClr>
                </a:gs>
                <a:gs pos="80000">
                  <a:schemeClr val="accent1">
                    <a:shade val="76000"/>
                    <a:shade val="93000"/>
                    <a:satMod val="130000"/>
                  </a:schemeClr>
                </a:gs>
                <a:gs pos="100000">
                  <a:schemeClr val="accent1">
                    <a:shade val="76000"/>
                    <a:shade val="94000"/>
                    <a:satMod val="135000"/>
                  </a:schemeClr>
                </a:gs>
              </a:gsLst>
              <a:lin ang="16200000" scaled="0"/>
            </a:gradFill>
            <a:ln w="9525">
              <a:solidFill>
                <a:schemeClr val="accent1">
                  <a:shade val="76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tint val="77000"/>
                    <a:shade val="51000"/>
                    <a:satMod val="130000"/>
                  </a:schemeClr>
                </a:gs>
                <a:gs pos="80000">
                  <a:schemeClr val="accent1">
                    <a:tint val="77000"/>
                    <a:shade val="93000"/>
                    <a:satMod val="130000"/>
                  </a:schemeClr>
                </a:gs>
                <a:gs pos="100000">
                  <a:schemeClr val="accent1">
                    <a:tint val="77000"/>
                    <a:shade val="94000"/>
                    <a:satMod val="135000"/>
                  </a:schemeClr>
                </a:gs>
              </a:gsLst>
              <a:lin ang="16200000" scaled="0"/>
            </a:gradFill>
            <a:ln w="9525">
              <a:solidFill>
                <a:schemeClr val="accent1">
                  <a:tint val="77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043785859959716"/>
          <c:y val="4.2553324418039044E-2"/>
          <c:w val="0.53814846407043038"/>
          <c:h val="0.75563767120055603"/>
        </c:manualLayout>
      </c:layout>
      <c:barChart>
        <c:barDir val="col"/>
        <c:grouping val="clustered"/>
        <c:varyColors val="0"/>
        <c:ser>
          <c:idx val="0"/>
          <c:order val="0"/>
          <c:tx>
            <c:strRef>
              <c:f>'Region vs cust type'!$B$3:$B$4</c:f>
              <c:strCache>
                <c:ptCount val="1"/>
                <c:pt idx="0">
                  <c:v>Automotive</c:v>
                </c:pt>
              </c:strCache>
            </c:strRef>
          </c:tx>
          <c:spPr>
            <a:gradFill rotWithShape="1">
              <a:gsLst>
                <a:gs pos="0">
                  <a:schemeClr val="accent1">
                    <a:shade val="76000"/>
                    <a:shade val="51000"/>
                    <a:satMod val="130000"/>
                  </a:schemeClr>
                </a:gs>
                <a:gs pos="80000">
                  <a:schemeClr val="accent1">
                    <a:shade val="76000"/>
                    <a:shade val="93000"/>
                    <a:satMod val="130000"/>
                  </a:schemeClr>
                </a:gs>
                <a:gs pos="100000">
                  <a:schemeClr val="accent1">
                    <a:shade val="7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'Region vs cust type'!$A$5:$A$11</c:f>
              <c:strCache>
                <c:ptCount val="6"/>
                <c:pt idx="0">
                  <c:v>Alabama</c:v>
                </c:pt>
                <c:pt idx="1">
                  <c:v>Florida</c:v>
                </c:pt>
                <c:pt idx="2">
                  <c:v>Georgia</c:v>
                </c:pt>
                <c:pt idx="3">
                  <c:v>North Carolina</c:v>
                </c:pt>
                <c:pt idx="4">
                  <c:v>South Carolina</c:v>
                </c:pt>
                <c:pt idx="5">
                  <c:v>Tennessee</c:v>
                </c:pt>
              </c:strCache>
            </c:strRef>
          </c:cat>
          <c:val>
            <c:numRef>
              <c:f>'Region vs cust type'!$B$5:$B$11</c:f>
              <c:numCache>
                <c:formatCode>_-[$$-C09]* #,##0.00_-;\-[$$-C09]* #,##0.00_-;_-[$$-C09]* "-"??_-;_-@_-</c:formatCode>
                <c:ptCount val="6"/>
                <c:pt idx="0">
                  <c:v>135690</c:v>
                </c:pt>
                <c:pt idx="1">
                  <c:v>0</c:v>
                </c:pt>
                <c:pt idx="2">
                  <c:v>172230</c:v>
                </c:pt>
                <c:pt idx="3">
                  <c:v>32773</c:v>
                </c:pt>
                <c:pt idx="4">
                  <c:v>114880</c:v>
                </c:pt>
                <c:pt idx="5">
                  <c:v>149205</c:v>
                </c:pt>
              </c:numCache>
            </c:numRef>
          </c:val>
          <c:extLst>
            <c:ext xmlns:c16="http://schemas.microsoft.com/office/drawing/2014/chart" uri="{C3380CC4-5D6E-409C-BE32-E72D297353CC}">
              <c16:uniqueId val="{00000000-EA80-4E3D-AF42-0D665035658C}"/>
            </c:ext>
          </c:extLst>
        </c:ser>
        <c:ser>
          <c:idx val="1"/>
          <c:order val="1"/>
          <c:tx>
            <c:strRef>
              <c:f>'Region vs cust type'!$C$3:$C$4</c:f>
              <c:strCache>
                <c:ptCount val="1"/>
                <c:pt idx="0">
                  <c:v>Financial</c:v>
                </c:pt>
              </c:strCache>
            </c:strRef>
          </c:tx>
          <c:spPr>
            <a:gradFill rotWithShape="1">
              <a:gsLst>
                <a:gs pos="0">
                  <a:schemeClr val="accent1">
                    <a:tint val="77000"/>
                    <a:shade val="51000"/>
                    <a:satMod val="130000"/>
                  </a:schemeClr>
                </a:gs>
                <a:gs pos="80000">
                  <a:schemeClr val="accent1">
                    <a:tint val="77000"/>
                    <a:shade val="93000"/>
                    <a:satMod val="130000"/>
                  </a:schemeClr>
                </a:gs>
                <a:gs pos="100000">
                  <a:schemeClr val="accent1">
                    <a:tint val="7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'Region vs cust type'!$A$5:$A$11</c:f>
              <c:strCache>
                <c:ptCount val="6"/>
                <c:pt idx="0">
                  <c:v>Alabama</c:v>
                </c:pt>
                <c:pt idx="1">
                  <c:v>Florida</c:v>
                </c:pt>
                <c:pt idx="2">
                  <c:v>Georgia</c:v>
                </c:pt>
                <c:pt idx="3">
                  <c:v>North Carolina</c:v>
                </c:pt>
                <c:pt idx="4">
                  <c:v>South Carolina</c:v>
                </c:pt>
                <c:pt idx="5">
                  <c:v>Tennessee</c:v>
                </c:pt>
              </c:strCache>
            </c:strRef>
          </c:cat>
          <c:val>
            <c:numRef>
              <c:f>'Region vs cust type'!$C$5:$C$11</c:f>
              <c:numCache>
                <c:formatCode>_-[$$-C09]* #,##0.00_-;\-[$$-C09]* #,##0.00_-;_-[$$-C09]* "-"??_-;_-@_-</c:formatCode>
                <c:ptCount val="6"/>
                <c:pt idx="0">
                  <c:v>0</c:v>
                </c:pt>
                <c:pt idx="1">
                  <c:v>80800</c:v>
                </c:pt>
                <c:pt idx="2">
                  <c:v>247370</c:v>
                </c:pt>
                <c:pt idx="3">
                  <c:v>0</c:v>
                </c:pt>
                <c:pt idx="4">
                  <c:v>0</c:v>
                </c:pt>
                <c:pt idx="5">
                  <c:v>0</c:v>
                </c:pt>
              </c:numCache>
            </c:numRef>
          </c:val>
          <c:extLst>
            <c:ext xmlns:c16="http://schemas.microsoft.com/office/drawing/2014/chart" uri="{C3380CC4-5D6E-409C-BE32-E72D297353CC}">
              <c16:uniqueId val="{00000002-BCE0-4E61-A77F-97E74D61348F}"/>
            </c:ext>
          </c:extLst>
        </c:ser>
        <c:dLbls>
          <c:showLegendKey val="0"/>
          <c:showVal val="0"/>
          <c:showCatName val="0"/>
          <c:showSerName val="0"/>
          <c:showPercent val="0"/>
          <c:showBubbleSize val="0"/>
        </c:dLbls>
        <c:gapWidth val="100"/>
        <c:overlap val="-24"/>
        <c:axId val="633873504"/>
        <c:axId val="633877824"/>
      </c:barChart>
      <c:catAx>
        <c:axId val="63387350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33877824"/>
        <c:crosses val="autoZero"/>
        <c:auto val="1"/>
        <c:lblAlgn val="ctr"/>
        <c:lblOffset val="100"/>
        <c:noMultiLvlLbl val="0"/>
      </c:catAx>
      <c:valAx>
        <c:axId val="633877824"/>
        <c:scaling>
          <c:orientation val="minMax"/>
        </c:scaling>
        <c:delete val="0"/>
        <c:axPos val="l"/>
        <c:numFmt formatCode="_-[$$-C09]* #,##0.00_-;\-[$$-C09]* #,##0.00_-;_-[$$-C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33873504"/>
        <c:crosses val="autoZero"/>
        <c:crossBetween val="between"/>
      </c:valAx>
      <c:spPr>
        <a:noFill/>
        <a:ln>
          <a:noFill/>
        </a:ln>
        <a:effectLst/>
      </c:spPr>
    </c:plotArea>
    <c:legend>
      <c:legendPos val="r"/>
      <c:layout>
        <c:manualLayout>
          <c:xMode val="edge"/>
          <c:yMode val="edge"/>
          <c:x val="0.84828444153096649"/>
          <c:y val="0.34322728265883329"/>
          <c:w val="0.13752476870130062"/>
          <c:h val="0.2301702907053590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[Case Study Ajmal.xlsx]Region vs Product line!PivotTable3</c:name>
    <c:fmtId val="22"/>
  </c:pivotSource>
  <c:chart>
    <c:title>
      <c:tx>
        <c:rich>
          <a:bodyPr rot="0" spcFirstLastPara="1" vertOverflow="ellipsis" vert="horz" wrap="square" anchor="ctr" anchorCtr="1"/>
          <a:lstStyle/>
          <a:p>
            <a:pPr>
              <a:defRPr sz="1600" b="1" i="0" u="none" strike="noStrike" kern="1200" baseline="0">
                <a:solidFill>
                  <a:schemeClr val="tx2">
                    <a:lumMod val="75000"/>
                  </a:schemeClr>
                </a:solidFill>
                <a:latin typeface="+mn-lt"/>
                <a:ea typeface="+mn-ea"/>
                <a:cs typeface="+mn-cs"/>
              </a:defRPr>
            </a:pPr>
            <a:r>
              <a:rPr lang="en-IN" sz="1400" b="1" i="0" u="none" strike="noStrike" baseline="0">
                <a:solidFill>
                  <a:schemeClr val="tx2">
                    <a:lumMod val="75000"/>
                  </a:schemeClr>
                </a:solidFill>
              </a:rPr>
              <a:t>Region vs Product Line</a:t>
            </a:r>
            <a:endParaRPr lang="en-IN" sz="1400">
              <a:solidFill>
                <a:schemeClr val="tx2">
                  <a:lumMod val="75000"/>
                </a:schemeClr>
              </a:solidFill>
            </a:endParaRPr>
          </a:p>
        </c:rich>
      </c:tx>
      <c:layout>
        <c:manualLayout>
          <c:xMode val="edge"/>
          <c:yMode val="edge"/>
          <c:x val="0.30238008458362153"/>
          <c:y val="1.7717034545078517E-2"/>
        </c:manualLayout>
      </c:layout>
      <c:overlay val="0"/>
      <c:spPr>
        <a:gradFill>
          <a:gsLst>
            <a:gs pos="0">
              <a:schemeClr val="accent1">
                <a:lumMod val="5000"/>
                <a:lumOff val="95000"/>
              </a:schemeClr>
            </a:gs>
            <a:gs pos="87000">
              <a:schemeClr val="accent1">
                <a:lumMod val="45000"/>
                <a:lumOff val="55000"/>
              </a:schemeClr>
            </a:gs>
            <a:gs pos="0">
              <a:schemeClr val="accent1">
                <a:lumMod val="45000"/>
                <a:lumOff val="55000"/>
              </a:schemeClr>
            </a:gs>
            <a:gs pos="30000">
              <a:schemeClr val="accent1">
                <a:lumMod val="30000"/>
                <a:lumOff val="70000"/>
              </a:schemeClr>
            </a:gs>
          </a:gsLst>
          <a:lin ang="5400000" scaled="1"/>
        </a:gradFill>
        <a:ln w="12700">
          <a:solidFill>
            <a:schemeClr val="tx2">
              <a:lumMod val="75000"/>
            </a:schemeClr>
          </a:solidFill>
        </a:ln>
        <a:effectLst/>
      </c:spPr>
      <c:txPr>
        <a:bodyPr rot="0" spcFirstLastPara="1" vertOverflow="ellipsis" vert="horz" wrap="square" anchor="ctr" anchorCtr="1"/>
        <a:lstStyle/>
        <a:p>
          <a:pPr>
            <a:defRPr sz="1600" b="1" i="0" u="none" strike="noStrike" kern="1200" baseline="0">
              <a:solidFill>
                <a:schemeClr val="tx2">
                  <a:lumMod val="7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65000"/>
                    <a:shade val="51000"/>
                    <a:satMod val="130000"/>
                  </a:schemeClr>
                </a:gs>
                <a:gs pos="80000">
                  <a:schemeClr val="accent1">
                    <a:shade val="65000"/>
                    <a:shade val="93000"/>
                    <a:satMod val="130000"/>
                  </a:schemeClr>
                </a:gs>
                <a:gs pos="100000">
                  <a:schemeClr val="accent1">
                    <a:shade val="65000"/>
                    <a:shade val="94000"/>
                    <a:satMod val="135000"/>
                  </a:schemeClr>
                </a:gs>
              </a:gsLst>
              <a:lin ang="16200000" scaled="0"/>
            </a:gradFill>
            <a:ln w="9525">
              <a:solidFill>
                <a:schemeClr val="accent1">
                  <a:shade val="65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tint val="65000"/>
                    <a:shade val="51000"/>
                    <a:satMod val="130000"/>
                  </a:schemeClr>
                </a:gs>
                <a:gs pos="80000">
                  <a:schemeClr val="accent1">
                    <a:tint val="65000"/>
                    <a:shade val="93000"/>
                    <a:satMod val="130000"/>
                  </a:schemeClr>
                </a:gs>
                <a:gs pos="100000">
                  <a:schemeClr val="accent1">
                    <a:tint val="65000"/>
                    <a:shade val="94000"/>
                    <a:satMod val="135000"/>
                  </a:schemeClr>
                </a:gs>
              </a:gsLst>
              <a:lin ang="16200000" scaled="0"/>
            </a:gradFill>
            <a:ln w="9525">
              <a:solidFill>
                <a:schemeClr val="accent1">
                  <a:tint val="65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'Region vs Product line'!$B$3:$B$4</c:f>
              <c:strCache>
                <c:ptCount val="1"/>
                <c:pt idx="0">
                  <c:v>Accessories</c:v>
                </c:pt>
              </c:strCache>
            </c:strRef>
          </c:tx>
          <c:spPr>
            <a:gradFill rotWithShape="1">
              <a:gsLst>
                <a:gs pos="0">
                  <a:schemeClr val="accent1">
                    <a:shade val="65000"/>
                    <a:shade val="51000"/>
                    <a:satMod val="130000"/>
                  </a:schemeClr>
                </a:gs>
                <a:gs pos="80000">
                  <a:schemeClr val="accent1">
                    <a:shade val="65000"/>
                    <a:shade val="93000"/>
                    <a:satMod val="130000"/>
                  </a:schemeClr>
                </a:gs>
                <a:gs pos="100000">
                  <a:schemeClr val="accent1">
                    <a:shade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'Region vs Product line'!$A$5:$A$11</c:f>
              <c:strCache>
                <c:ptCount val="6"/>
                <c:pt idx="0">
                  <c:v>Alabama</c:v>
                </c:pt>
                <c:pt idx="1">
                  <c:v>Florida</c:v>
                </c:pt>
                <c:pt idx="2">
                  <c:v>Georgia</c:v>
                </c:pt>
                <c:pt idx="3">
                  <c:v>North Carolina</c:v>
                </c:pt>
                <c:pt idx="4">
                  <c:v>South Carolina</c:v>
                </c:pt>
                <c:pt idx="5">
                  <c:v>Tennessee</c:v>
                </c:pt>
              </c:strCache>
            </c:strRef>
          </c:cat>
          <c:val>
            <c:numRef>
              <c:f>'Region vs Product line'!$B$5:$B$11</c:f>
              <c:numCache>
                <c:formatCode>_-[$$-C09]* #,##0.00_-;\-[$$-C09]* #,##0.00_-;_-[$$-C09]* "-"??_-;_-@_-</c:formatCode>
                <c:ptCount val="6"/>
                <c:pt idx="0">
                  <c:v>8140</c:v>
                </c:pt>
                <c:pt idx="1">
                  <c:v>690</c:v>
                </c:pt>
                <c:pt idx="2">
                  <c:v>6590</c:v>
                </c:pt>
                <c:pt idx="3">
                  <c:v>710</c:v>
                </c:pt>
                <c:pt idx="4">
                  <c:v>0</c:v>
                </c:pt>
                <c:pt idx="5">
                  <c:v>2495</c:v>
                </c:pt>
              </c:numCache>
            </c:numRef>
          </c:val>
          <c:extLst>
            <c:ext xmlns:c16="http://schemas.microsoft.com/office/drawing/2014/chart" uri="{C3380CC4-5D6E-409C-BE32-E72D297353CC}">
              <c16:uniqueId val="{00000000-16F5-4B48-96E1-1C76FB08B234}"/>
            </c:ext>
          </c:extLst>
        </c:ser>
        <c:ser>
          <c:idx val="1"/>
          <c:order val="1"/>
          <c:tx>
            <c:strRef>
              <c:f>'Region vs Product line'!$C$3:$C$4</c:f>
              <c:strCache>
                <c:ptCount val="1"/>
                <c:pt idx="0">
                  <c:v>Consumables</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'Region vs Product line'!$A$5:$A$11</c:f>
              <c:strCache>
                <c:ptCount val="6"/>
                <c:pt idx="0">
                  <c:v>Alabama</c:v>
                </c:pt>
                <c:pt idx="1">
                  <c:v>Florida</c:v>
                </c:pt>
                <c:pt idx="2">
                  <c:v>Georgia</c:v>
                </c:pt>
                <c:pt idx="3">
                  <c:v>North Carolina</c:v>
                </c:pt>
                <c:pt idx="4">
                  <c:v>South Carolina</c:v>
                </c:pt>
                <c:pt idx="5">
                  <c:v>Tennessee</c:v>
                </c:pt>
              </c:strCache>
            </c:strRef>
          </c:cat>
          <c:val>
            <c:numRef>
              <c:f>'Region vs Product line'!$C$5:$C$11</c:f>
              <c:numCache>
                <c:formatCode>_-[$$-C09]* #,##0.00_-;\-[$$-C09]* #,##0.00_-;_-[$$-C09]* "-"??_-;_-@_-</c:formatCode>
                <c:ptCount val="6"/>
                <c:pt idx="0">
                  <c:v>34550</c:v>
                </c:pt>
                <c:pt idx="1">
                  <c:v>23360</c:v>
                </c:pt>
                <c:pt idx="2">
                  <c:v>206960</c:v>
                </c:pt>
                <c:pt idx="3">
                  <c:v>17563</c:v>
                </c:pt>
                <c:pt idx="4">
                  <c:v>39880</c:v>
                </c:pt>
                <c:pt idx="5">
                  <c:v>65110</c:v>
                </c:pt>
              </c:numCache>
            </c:numRef>
          </c:val>
          <c:extLst>
            <c:ext xmlns:c16="http://schemas.microsoft.com/office/drawing/2014/chart" uri="{C3380CC4-5D6E-409C-BE32-E72D297353CC}">
              <c16:uniqueId val="{00000005-D6F3-4BC5-A35B-EE44CC6EAFCB}"/>
            </c:ext>
          </c:extLst>
        </c:ser>
        <c:ser>
          <c:idx val="2"/>
          <c:order val="2"/>
          <c:tx>
            <c:strRef>
              <c:f>'Region vs Product line'!$D$3:$D$4</c:f>
              <c:strCache>
                <c:ptCount val="1"/>
                <c:pt idx="0">
                  <c:v>Product</c:v>
                </c:pt>
              </c:strCache>
            </c:strRef>
          </c:tx>
          <c:spPr>
            <a:gradFill rotWithShape="1">
              <a:gsLst>
                <a:gs pos="0">
                  <a:schemeClr val="accent1">
                    <a:tint val="65000"/>
                    <a:shade val="51000"/>
                    <a:satMod val="130000"/>
                  </a:schemeClr>
                </a:gs>
                <a:gs pos="80000">
                  <a:schemeClr val="accent1">
                    <a:tint val="65000"/>
                    <a:shade val="93000"/>
                    <a:satMod val="130000"/>
                  </a:schemeClr>
                </a:gs>
                <a:gs pos="100000">
                  <a:schemeClr val="accent1">
                    <a:tint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'Region vs Product line'!$A$5:$A$11</c:f>
              <c:strCache>
                <c:ptCount val="6"/>
                <c:pt idx="0">
                  <c:v>Alabama</c:v>
                </c:pt>
                <c:pt idx="1">
                  <c:v>Florida</c:v>
                </c:pt>
                <c:pt idx="2">
                  <c:v>Georgia</c:v>
                </c:pt>
                <c:pt idx="3">
                  <c:v>North Carolina</c:v>
                </c:pt>
                <c:pt idx="4">
                  <c:v>South Carolina</c:v>
                </c:pt>
                <c:pt idx="5">
                  <c:v>Tennessee</c:v>
                </c:pt>
              </c:strCache>
            </c:strRef>
          </c:cat>
          <c:val>
            <c:numRef>
              <c:f>'Region vs Product line'!$D$5:$D$11</c:f>
              <c:numCache>
                <c:formatCode>_-[$$-C09]* #,##0.00_-;\-[$$-C09]* #,##0.00_-;_-[$$-C09]* "-"??_-;_-@_-</c:formatCode>
                <c:ptCount val="6"/>
                <c:pt idx="0">
                  <c:v>93000</c:v>
                </c:pt>
                <c:pt idx="1">
                  <c:v>56750</c:v>
                </c:pt>
                <c:pt idx="2">
                  <c:v>206050</c:v>
                </c:pt>
                <c:pt idx="3">
                  <c:v>14500</c:v>
                </c:pt>
                <c:pt idx="4">
                  <c:v>75000</c:v>
                </c:pt>
                <c:pt idx="5">
                  <c:v>81600</c:v>
                </c:pt>
              </c:numCache>
            </c:numRef>
          </c:val>
          <c:extLst>
            <c:ext xmlns:c16="http://schemas.microsoft.com/office/drawing/2014/chart" uri="{C3380CC4-5D6E-409C-BE32-E72D297353CC}">
              <c16:uniqueId val="{00000006-D6F3-4BC5-A35B-EE44CC6EAFCB}"/>
            </c:ext>
          </c:extLst>
        </c:ser>
        <c:dLbls>
          <c:showLegendKey val="0"/>
          <c:showVal val="0"/>
          <c:showCatName val="0"/>
          <c:showSerName val="0"/>
          <c:showPercent val="0"/>
          <c:showBubbleSize val="0"/>
        </c:dLbls>
        <c:gapWidth val="150"/>
        <c:shape val="box"/>
        <c:axId val="1261487248"/>
        <c:axId val="1261491088"/>
        <c:axId val="0"/>
      </c:bar3DChart>
      <c:catAx>
        <c:axId val="126148724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261491088"/>
        <c:crosses val="autoZero"/>
        <c:auto val="1"/>
        <c:lblAlgn val="ctr"/>
        <c:lblOffset val="100"/>
        <c:noMultiLvlLbl val="0"/>
      </c:catAx>
      <c:valAx>
        <c:axId val="1261491088"/>
        <c:scaling>
          <c:orientation val="minMax"/>
        </c:scaling>
        <c:delete val="0"/>
        <c:axPos val="l"/>
        <c:numFmt formatCode="_-[$$-C09]* #,##0.00_-;\-[$$-C09]* #,##0.00_-;_-[$$-C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261487248"/>
        <c:crosses val="autoZero"/>
        <c:crossBetween val="between"/>
      </c:valAx>
      <c:spPr>
        <a:noFill/>
        <a:ln>
          <a:noFill/>
        </a:ln>
        <a:effectLst/>
      </c:spPr>
    </c:plotArea>
    <c:legend>
      <c:legendPos val="r"/>
      <c:layout>
        <c:manualLayout>
          <c:xMode val="edge"/>
          <c:yMode val="edge"/>
          <c:x val="0.79595451062657863"/>
          <c:y val="0.36691106641551258"/>
          <c:w val="0.18384485549616303"/>
          <c:h val="0.3083887019726244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[Case Study Ajmal.xlsx] Product  analysis!PivotTable5</c:name>
    <c:fmtId val="23"/>
  </c:pivotSource>
  <c:chart>
    <c:title>
      <c:tx>
        <c:rich>
          <a:bodyPr rot="0" spcFirstLastPara="1" vertOverflow="ellipsis" vert="horz" wrap="square" anchor="ctr" anchorCtr="1"/>
          <a:lstStyle/>
          <a:p>
            <a:pPr>
              <a:defRPr sz="1600" b="1" i="0" u="none" strike="noStrike" kern="1200" baseline="0">
                <a:solidFill>
                  <a:schemeClr val="tx2">
                    <a:lumMod val="75000"/>
                  </a:schemeClr>
                </a:solidFill>
                <a:latin typeface="+mn-lt"/>
                <a:ea typeface="+mn-ea"/>
                <a:cs typeface="+mn-cs"/>
              </a:defRPr>
            </a:pPr>
            <a:r>
              <a:rPr lang="en-IN" sz="1400" b="1" i="0" u="none" strike="noStrike" baseline="0">
                <a:solidFill>
                  <a:schemeClr val="tx2">
                    <a:lumMod val="75000"/>
                  </a:schemeClr>
                </a:solidFill>
              </a:rPr>
              <a:t>Product Analysis — Cost vs Revenue</a:t>
            </a:r>
            <a:endParaRPr lang="en-IN" sz="1400">
              <a:solidFill>
                <a:schemeClr val="tx2">
                  <a:lumMod val="75000"/>
                </a:schemeClr>
              </a:solidFill>
            </a:endParaRPr>
          </a:p>
        </c:rich>
      </c:tx>
      <c:layout>
        <c:manualLayout>
          <c:xMode val="edge"/>
          <c:yMode val="edge"/>
          <c:x val="0.24747452822070815"/>
          <c:y val="9.4736881366299774E-3"/>
        </c:manualLayout>
      </c:layout>
      <c:overlay val="0"/>
      <c:spPr>
        <a:gradFill>
          <a:gsLst>
            <a:gs pos="0">
              <a:schemeClr val="accent1">
                <a:lumMod val="5000"/>
                <a:lumOff val="95000"/>
              </a:schemeClr>
            </a:gs>
            <a:gs pos="89000">
              <a:schemeClr val="accent1">
                <a:lumMod val="45000"/>
                <a:lumOff val="55000"/>
              </a:schemeClr>
            </a:gs>
            <a:gs pos="0">
              <a:schemeClr val="accent1">
                <a:lumMod val="45000"/>
                <a:lumOff val="55000"/>
              </a:schemeClr>
            </a:gs>
            <a:gs pos="77000">
              <a:schemeClr val="accent1">
                <a:lumMod val="30000"/>
                <a:lumOff val="70000"/>
              </a:schemeClr>
            </a:gs>
          </a:gsLst>
          <a:lin ang="5400000" scaled="1"/>
        </a:gradFill>
        <a:ln w="12700">
          <a:solidFill>
            <a:schemeClr val="tx2">
              <a:lumMod val="75000"/>
            </a:schemeClr>
          </a:solidFill>
        </a:ln>
        <a:effectLst/>
      </c:spPr>
      <c:txPr>
        <a:bodyPr rot="0" spcFirstLastPara="1" vertOverflow="ellipsis" vert="horz" wrap="square" anchor="ctr" anchorCtr="1"/>
        <a:lstStyle/>
        <a:p>
          <a:pPr>
            <a:defRPr sz="1600" b="1" i="0" u="none" strike="noStrike" kern="1200" baseline="0">
              <a:solidFill>
                <a:schemeClr val="tx2">
                  <a:lumMod val="7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8000"/>
                    <a:shade val="51000"/>
                    <a:satMod val="130000"/>
                  </a:schemeClr>
                </a:gs>
                <a:gs pos="80000">
                  <a:schemeClr val="accent1">
                    <a:shade val="58000"/>
                    <a:shade val="93000"/>
                    <a:satMod val="130000"/>
                  </a:schemeClr>
                </a:gs>
                <a:gs pos="100000">
                  <a:schemeClr val="accent1">
                    <a:shade val="58000"/>
                    <a:shade val="94000"/>
                    <a:satMod val="135000"/>
                  </a:schemeClr>
                </a:gs>
              </a:gsLst>
              <a:lin ang="16200000" scaled="0"/>
            </a:gradFill>
            <a:ln w="9525">
              <a:solidFill>
                <a:schemeClr val="accent1">
                  <a:shade val="58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86000"/>
                    <a:shade val="51000"/>
                    <a:satMod val="130000"/>
                  </a:schemeClr>
                </a:gs>
                <a:gs pos="80000">
                  <a:schemeClr val="accent1">
                    <a:shade val="86000"/>
                    <a:shade val="93000"/>
                    <a:satMod val="130000"/>
                  </a:schemeClr>
                </a:gs>
                <a:gs pos="100000">
                  <a:schemeClr val="accent1">
                    <a:shade val="86000"/>
                    <a:shade val="94000"/>
                    <a:satMod val="135000"/>
                  </a:schemeClr>
                </a:gs>
              </a:gsLst>
              <a:lin ang="16200000" scaled="0"/>
            </a:gradFill>
            <a:ln w="9525">
              <a:solidFill>
                <a:schemeClr val="accent1">
                  <a:shade val="86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tint val="86000"/>
                    <a:shade val="51000"/>
                    <a:satMod val="130000"/>
                  </a:schemeClr>
                </a:gs>
                <a:gs pos="80000">
                  <a:schemeClr val="accent1">
                    <a:tint val="86000"/>
                    <a:shade val="93000"/>
                    <a:satMod val="130000"/>
                  </a:schemeClr>
                </a:gs>
                <a:gs pos="100000">
                  <a:schemeClr val="accent1">
                    <a:tint val="86000"/>
                    <a:shade val="94000"/>
                    <a:satMod val="135000"/>
                  </a:schemeClr>
                </a:gs>
              </a:gsLst>
              <a:lin ang="16200000" scaled="0"/>
            </a:gradFill>
            <a:ln w="9525">
              <a:solidFill>
                <a:schemeClr val="accent1">
                  <a:tint val="86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tint val="58000"/>
                    <a:shade val="51000"/>
                    <a:satMod val="130000"/>
                  </a:schemeClr>
                </a:gs>
                <a:gs pos="80000">
                  <a:schemeClr val="accent1">
                    <a:tint val="58000"/>
                    <a:shade val="93000"/>
                    <a:satMod val="130000"/>
                  </a:schemeClr>
                </a:gs>
                <a:gs pos="100000">
                  <a:schemeClr val="accent1">
                    <a:tint val="58000"/>
                    <a:shade val="94000"/>
                    <a:satMod val="135000"/>
                  </a:schemeClr>
                </a:gs>
              </a:gsLst>
              <a:lin ang="16200000" scaled="0"/>
            </a:gradFill>
            <a:ln w="9525">
              <a:solidFill>
                <a:schemeClr val="accent1">
                  <a:tint val="58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1989984959658407"/>
          <c:y val="0.16348461857765403"/>
          <c:w val="0.45710743512818014"/>
          <c:h val="0.58126005633630751"/>
        </c:manualLayout>
      </c:layout>
      <c:bar3DChart>
        <c:barDir val="col"/>
        <c:grouping val="clustered"/>
        <c:varyColors val="0"/>
        <c:ser>
          <c:idx val="0"/>
          <c:order val="0"/>
          <c:tx>
            <c:strRef>
              <c:f>' Product  analysis'!$B$3:$B$5</c:f>
              <c:strCache>
                <c:ptCount val="1"/>
                <c:pt idx="0">
                  <c:v>Automotive - Sum of Cost</c:v>
                </c:pt>
              </c:strCache>
            </c:strRef>
          </c:tx>
          <c:spPr>
            <a:gradFill rotWithShape="1">
              <a:gsLst>
                <a:gs pos="0">
                  <a:schemeClr val="accent1">
                    <a:shade val="58000"/>
                    <a:shade val="51000"/>
                    <a:satMod val="130000"/>
                  </a:schemeClr>
                </a:gs>
                <a:gs pos="80000">
                  <a:schemeClr val="accent1">
                    <a:shade val="58000"/>
                    <a:shade val="93000"/>
                    <a:satMod val="130000"/>
                  </a:schemeClr>
                </a:gs>
                <a:gs pos="100000">
                  <a:schemeClr val="accent1">
                    <a:shade val="5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 Product  analysis'!$A$6:$A$12</c:f>
              <c:strCache>
                <c:ptCount val="6"/>
                <c:pt idx="0">
                  <c:v>Alabama</c:v>
                </c:pt>
                <c:pt idx="1">
                  <c:v>Florida</c:v>
                </c:pt>
                <c:pt idx="2">
                  <c:v>Georgia</c:v>
                </c:pt>
                <c:pt idx="3">
                  <c:v>North Carolina</c:v>
                </c:pt>
                <c:pt idx="4">
                  <c:v>South Carolina</c:v>
                </c:pt>
                <c:pt idx="5">
                  <c:v>Tennessee</c:v>
                </c:pt>
              </c:strCache>
            </c:strRef>
          </c:cat>
          <c:val>
            <c:numRef>
              <c:f>' Product  analysis'!$B$6:$B$12</c:f>
              <c:numCache>
                <c:formatCode>_-[$$-C09]* #,##0.00_-;\-[$$-C09]* #,##0.00_-;_-[$$-C09]* "-"??_-;_-@_-</c:formatCode>
                <c:ptCount val="6"/>
                <c:pt idx="0">
                  <c:v>67289.75</c:v>
                </c:pt>
                <c:pt idx="1">
                  <c:v>0</c:v>
                </c:pt>
                <c:pt idx="2">
                  <c:v>74550.14999999998</c:v>
                </c:pt>
                <c:pt idx="3">
                  <c:v>15682.989999999998</c:v>
                </c:pt>
                <c:pt idx="4">
                  <c:v>60674.5</c:v>
                </c:pt>
                <c:pt idx="5">
                  <c:v>69497.070000000007</c:v>
                </c:pt>
              </c:numCache>
            </c:numRef>
          </c:val>
          <c:extLst>
            <c:ext xmlns:c16="http://schemas.microsoft.com/office/drawing/2014/chart" uri="{C3380CC4-5D6E-409C-BE32-E72D297353CC}">
              <c16:uniqueId val="{00000000-EB6A-4A2F-9B4C-3FD7FF1BBD81}"/>
            </c:ext>
          </c:extLst>
        </c:ser>
        <c:ser>
          <c:idx val="1"/>
          <c:order val="1"/>
          <c:tx>
            <c:strRef>
              <c:f>' Product  analysis'!$C$3:$C$5</c:f>
              <c:strCache>
                <c:ptCount val="1"/>
                <c:pt idx="0">
                  <c:v>Automotive - Sum of Revenue</c:v>
                </c:pt>
              </c:strCache>
            </c:strRef>
          </c:tx>
          <c:spPr>
            <a:gradFill rotWithShape="1">
              <a:gsLst>
                <a:gs pos="0">
                  <a:schemeClr val="accent1">
                    <a:shade val="86000"/>
                    <a:shade val="51000"/>
                    <a:satMod val="130000"/>
                  </a:schemeClr>
                </a:gs>
                <a:gs pos="80000">
                  <a:schemeClr val="accent1">
                    <a:shade val="86000"/>
                    <a:shade val="93000"/>
                    <a:satMod val="130000"/>
                  </a:schemeClr>
                </a:gs>
                <a:gs pos="100000">
                  <a:schemeClr val="accent1">
                    <a:shade val="8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 Product  analysis'!$A$6:$A$12</c:f>
              <c:strCache>
                <c:ptCount val="6"/>
                <c:pt idx="0">
                  <c:v>Alabama</c:v>
                </c:pt>
                <c:pt idx="1">
                  <c:v>Florida</c:v>
                </c:pt>
                <c:pt idx="2">
                  <c:v>Georgia</c:v>
                </c:pt>
                <c:pt idx="3">
                  <c:v>North Carolina</c:v>
                </c:pt>
                <c:pt idx="4">
                  <c:v>South Carolina</c:v>
                </c:pt>
                <c:pt idx="5">
                  <c:v>Tennessee</c:v>
                </c:pt>
              </c:strCache>
            </c:strRef>
          </c:cat>
          <c:val>
            <c:numRef>
              <c:f>' Product  analysis'!$C$6:$C$12</c:f>
              <c:numCache>
                <c:formatCode>_-[$$-C09]* #,##0.00_-;\-[$$-C09]* #,##0.00_-;_-[$$-C09]* "-"??_-;_-@_-</c:formatCode>
                <c:ptCount val="6"/>
                <c:pt idx="0">
                  <c:v>135690</c:v>
                </c:pt>
                <c:pt idx="1">
                  <c:v>0</c:v>
                </c:pt>
                <c:pt idx="2">
                  <c:v>172230</c:v>
                </c:pt>
                <c:pt idx="3">
                  <c:v>32773</c:v>
                </c:pt>
                <c:pt idx="4">
                  <c:v>114880</c:v>
                </c:pt>
                <c:pt idx="5">
                  <c:v>149205</c:v>
                </c:pt>
              </c:numCache>
            </c:numRef>
          </c:val>
          <c:extLst>
            <c:ext xmlns:c16="http://schemas.microsoft.com/office/drawing/2014/chart" uri="{C3380CC4-5D6E-409C-BE32-E72D297353CC}">
              <c16:uniqueId val="{00000001-EB6A-4A2F-9B4C-3FD7FF1BBD81}"/>
            </c:ext>
          </c:extLst>
        </c:ser>
        <c:ser>
          <c:idx val="2"/>
          <c:order val="2"/>
          <c:tx>
            <c:strRef>
              <c:f>' Product  analysis'!$D$3:$D$5</c:f>
              <c:strCache>
                <c:ptCount val="1"/>
                <c:pt idx="0">
                  <c:v>Financial - Sum of Cost</c:v>
                </c:pt>
              </c:strCache>
            </c:strRef>
          </c:tx>
          <c:spPr>
            <a:gradFill rotWithShape="1">
              <a:gsLst>
                <a:gs pos="0">
                  <a:schemeClr val="accent1">
                    <a:tint val="86000"/>
                    <a:shade val="51000"/>
                    <a:satMod val="130000"/>
                  </a:schemeClr>
                </a:gs>
                <a:gs pos="80000">
                  <a:schemeClr val="accent1">
                    <a:tint val="86000"/>
                    <a:shade val="93000"/>
                    <a:satMod val="130000"/>
                  </a:schemeClr>
                </a:gs>
                <a:gs pos="100000">
                  <a:schemeClr val="accent1">
                    <a:tint val="8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 Product  analysis'!$A$6:$A$12</c:f>
              <c:strCache>
                <c:ptCount val="6"/>
                <c:pt idx="0">
                  <c:v>Alabama</c:v>
                </c:pt>
                <c:pt idx="1">
                  <c:v>Florida</c:v>
                </c:pt>
                <c:pt idx="2">
                  <c:v>Georgia</c:v>
                </c:pt>
                <c:pt idx="3">
                  <c:v>North Carolina</c:v>
                </c:pt>
                <c:pt idx="4">
                  <c:v>South Carolina</c:v>
                </c:pt>
                <c:pt idx="5">
                  <c:v>Tennessee</c:v>
                </c:pt>
              </c:strCache>
            </c:strRef>
          </c:cat>
          <c:val>
            <c:numRef>
              <c:f>' Product  analysis'!$D$6:$D$12</c:f>
              <c:numCache>
                <c:formatCode>_-[$$-C09]* #,##0.00_-;\-[$$-C09]* #,##0.00_-;_-[$$-C09]* "-"??_-;_-@_-</c:formatCode>
                <c:ptCount val="6"/>
                <c:pt idx="0">
                  <c:v>0</c:v>
                </c:pt>
                <c:pt idx="1">
                  <c:v>39350.78</c:v>
                </c:pt>
                <c:pt idx="2">
                  <c:v>116407.40000000001</c:v>
                </c:pt>
                <c:pt idx="3">
                  <c:v>0</c:v>
                </c:pt>
                <c:pt idx="4">
                  <c:v>0</c:v>
                </c:pt>
                <c:pt idx="5">
                  <c:v>0</c:v>
                </c:pt>
              </c:numCache>
            </c:numRef>
          </c:val>
          <c:extLst>
            <c:ext xmlns:c16="http://schemas.microsoft.com/office/drawing/2014/chart" uri="{C3380CC4-5D6E-409C-BE32-E72D297353CC}">
              <c16:uniqueId val="{00000003-800E-42A7-AEE6-CA9F355DA6A7}"/>
            </c:ext>
          </c:extLst>
        </c:ser>
        <c:ser>
          <c:idx val="3"/>
          <c:order val="3"/>
          <c:tx>
            <c:strRef>
              <c:f>' Product  analysis'!$E$3:$E$5</c:f>
              <c:strCache>
                <c:ptCount val="1"/>
                <c:pt idx="0">
                  <c:v>Financial - Sum of Revenue</c:v>
                </c:pt>
              </c:strCache>
            </c:strRef>
          </c:tx>
          <c:spPr>
            <a:gradFill rotWithShape="1">
              <a:gsLst>
                <a:gs pos="0">
                  <a:schemeClr val="accent1">
                    <a:tint val="58000"/>
                    <a:shade val="51000"/>
                    <a:satMod val="130000"/>
                  </a:schemeClr>
                </a:gs>
                <a:gs pos="80000">
                  <a:schemeClr val="accent1">
                    <a:tint val="58000"/>
                    <a:shade val="93000"/>
                    <a:satMod val="130000"/>
                  </a:schemeClr>
                </a:gs>
                <a:gs pos="100000">
                  <a:schemeClr val="accent1">
                    <a:tint val="5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 Product  analysis'!$A$6:$A$12</c:f>
              <c:strCache>
                <c:ptCount val="6"/>
                <c:pt idx="0">
                  <c:v>Alabama</c:v>
                </c:pt>
                <c:pt idx="1">
                  <c:v>Florida</c:v>
                </c:pt>
                <c:pt idx="2">
                  <c:v>Georgia</c:v>
                </c:pt>
                <c:pt idx="3">
                  <c:v>North Carolina</c:v>
                </c:pt>
                <c:pt idx="4">
                  <c:v>South Carolina</c:v>
                </c:pt>
                <c:pt idx="5">
                  <c:v>Tennessee</c:v>
                </c:pt>
              </c:strCache>
            </c:strRef>
          </c:cat>
          <c:val>
            <c:numRef>
              <c:f>' Product  analysis'!$E$6:$E$12</c:f>
              <c:numCache>
                <c:formatCode>_-[$$-C09]* #,##0.00_-;\-[$$-C09]* #,##0.00_-;_-[$$-C09]* "-"??_-;_-@_-</c:formatCode>
                <c:ptCount val="6"/>
                <c:pt idx="0">
                  <c:v>0</c:v>
                </c:pt>
                <c:pt idx="1">
                  <c:v>80800</c:v>
                </c:pt>
                <c:pt idx="2">
                  <c:v>247370</c:v>
                </c:pt>
                <c:pt idx="3">
                  <c:v>0</c:v>
                </c:pt>
                <c:pt idx="4">
                  <c:v>0</c:v>
                </c:pt>
                <c:pt idx="5">
                  <c:v>0</c:v>
                </c:pt>
              </c:numCache>
            </c:numRef>
          </c:val>
          <c:extLst>
            <c:ext xmlns:c16="http://schemas.microsoft.com/office/drawing/2014/chart" uri="{C3380CC4-5D6E-409C-BE32-E72D297353CC}">
              <c16:uniqueId val="{00000004-800E-42A7-AEE6-CA9F355DA6A7}"/>
            </c:ext>
          </c:extLst>
        </c:ser>
        <c:dLbls>
          <c:showLegendKey val="0"/>
          <c:showVal val="0"/>
          <c:showCatName val="0"/>
          <c:showSerName val="0"/>
          <c:showPercent val="0"/>
          <c:showBubbleSize val="0"/>
        </c:dLbls>
        <c:gapWidth val="150"/>
        <c:shape val="box"/>
        <c:axId val="1155102144"/>
        <c:axId val="1155106944"/>
        <c:axId val="0"/>
      </c:bar3DChart>
      <c:catAx>
        <c:axId val="115510214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55106944"/>
        <c:crosses val="autoZero"/>
        <c:auto val="1"/>
        <c:lblAlgn val="ctr"/>
        <c:lblOffset val="100"/>
        <c:noMultiLvlLbl val="0"/>
      </c:catAx>
      <c:valAx>
        <c:axId val="1155106944"/>
        <c:scaling>
          <c:orientation val="minMax"/>
        </c:scaling>
        <c:delete val="0"/>
        <c:axPos val="l"/>
        <c:numFmt formatCode="_-[$$-C09]* #,##0.00_-;\-[$$-C09]* #,##0.00_-;_-[$$-C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55102144"/>
        <c:crosses val="autoZero"/>
        <c:crossBetween val="between"/>
      </c:valAx>
      <c:spPr>
        <a:noFill/>
        <a:ln>
          <a:noFill/>
        </a:ln>
        <a:effectLst/>
      </c:spPr>
    </c:plotArea>
    <c:legend>
      <c:legendPos val="r"/>
      <c:layout>
        <c:manualLayout>
          <c:xMode val="edge"/>
          <c:yMode val="edge"/>
          <c:x val="0.80000658104361055"/>
          <c:y val="0.34033730982331389"/>
          <c:w val="0.18522551621849145"/>
          <c:h val="0.3074372116720832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[Case Study Ajmal.xlsx]Return_Analysis Sheet!PivotTable1</c:name>
    <c:fmtId val="9"/>
  </c:pivotSource>
  <c:chart>
    <c:title>
      <c:tx>
        <c:rich>
          <a:bodyPr rot="0" spcFirstLastPara="1" vertOverflow="ellipsis" vert="horz" wrap="square" anchor="ctr" anchorCtr="1"/>
          <a:lstStyle/>
          <a:p>
            <a:pPr>
              <a:defRPr sz="1400" b="0" i="0" u="none" strike="noStrike" kern="1200" spc="0" baseline="0">
                <a:solidFill>
                  <a:schemeClr val="tx2">
                    <a:lumMod val="75000"/>
                  </a:schemeClr>
                </a:solidFill>
                <a:latin typeface="+mn-lt"/>
                <a:ea typeface="+mn-ea"/>
                <a:cs typeface="+mn-cs"/>
              </a:defRPr>
            </a:pPr>
            <a:r>
              <a:rPr lang="en-IN" sz="1400" b="1" i="0" u="none" strike="noStrike" baseline="0">
                <a:solidFill>
                  <a:schemeClr val="tx2">
                    <a:lumMod val="75000"/>
                  </a:schemeClr>
                </a:solidFill>
              </a:rPr>
              <a:t>Returns by Reason Code</a:t>
            </a:r>
            <a:endParaRPr lang="en-US" b="1">
              <a:solidFill>
                <a:schemeClr val="tx2">
                  <a:lumMod val="75000"/>
                </a:schemeClr>
              </a:solidFill>
            </a:endParaRPr>
          </a:p>
        </c:rich>
      </c:tx>
      <c:layout>
        <c:manualLayout>
          <c:xMode val="edge"/>
          <c:yMode val="edge"/>
          <c:x val="0.37487464128927472"/>
          <c:y val="1.7659049376959012E-2"/>
        </c:manualLayout>
      </c:layout>
      <c:overlay val="0"/>
      <c:spPr>
        <a:gradFill>
          <a:gsLst>
            <a:gs pos="0">
              <a:schemeClr val="accent1">
                <a:lumMod val="5000"/>
                <a:lumOff val="95000"/>
              </a:schemeClr>
            </a:gs>
            <a:gs pos="80000">
              <a:schemeClr val="accent1">
                <a:lumMod val="45000"/>
                <a:lumOff val="55000"/>
              </a:schemeClr>
            </a:gs>
            <a:gs pos="0">
              <a:schemeClr val="accent1">
                <a:lumMod val="45000"/>
                <a:lumOff val="55000"/>
              </a:schemeClr>
            </a:gs>
            <a:gs pos="76000">
              <a:schemeClr val="accent1">
                <a:lumMod val="30000"/>
                <a:lumOff val="70000"/>
              </a:schemeClr>
            </a:gs>
          </a:gsLst>
          <a:lin ang="5400000" scaled="1"/>
        </a:gradFill>
        <a:ln w="12700">
          <a:solidFill>
            <a:schemeClr val="accent1">
              <a:lumMod val="50000"/>
            </a:schemeClr>
          </a:solidFill>
        </a:ln>
        <a:effectLst/>
      </c:spPr>
      <c:txPr>
        <a:bodyPr rot="0" spcFirstLastPara="1" vertOverflow="ellipsis" vert="horz" wrap="square" anchor="ctr" anchorCtr="1"/>
        <a:lstStyle/>
        <a:p>
          <a:pPr>
            <a:defRPr sz="1400" b="0" i="0" u="none" strike="noStrike" kern="1200" spc="0" baseline="0">
              <a:solidFill>
                <a:schemeClr val="tx2">
                  <a:lumMod val="7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'Return_Analysis Sheet'!$B$3</c:f>
              <c:strCache>
                <c:ptCount val="1"/>
                <c:pt idx="0">
                  <c:v>Total</c:v>
                </c:pt>
              </c:strCache>
            </c:strRef>
          </c:tx>
          <c:spPr>
            <a:solidFill>
              <a:schemeClr val="accent1"/>
            </a:solidFill>
            <a:ln>
              <a:noFill/>
            </a:ln>
            <a:effectLst/>
          </c:spPr>
          <c:invertIfNegative val="0"/>
          <c:cat>
            <c:strRef>
              <c:f>'Return_Analysis Sheet'!$A$4:$A$8</c:f>
              <c:strCache>
                <c:ptCount val="4"/>
                <c:pt idx="0">
                  <c:v>Customer Ordered Wrong Part</c:v>
                </c:pt>
                <c:pt idx="1">
                  <c:v>Damaged in transit</c:v>
                </c:pt>
                <c:pt idx="2">
                  <c:v>Defective Product</c:v>
                </c:pt>
                <c:pt idx="3">
                  <c:v>Not needed</c:v>
                </c:pt>
              </c:strCache>
            </c:strRef>
          </c:cat>
          <c:val>
            <c:numRef>
              <c:f>'Return_Analysis Sheet'!$B$4:$B$8</c:f>
              <c:numCache>
                <c:formatCode>_-[$$-409]* #,##0.00_ ;_-[$$-409]* \-#,##0.00\ ;_-[$$-409]* "-"??_ ;_-@_ </c:formatCode>
                <c:ptCount val="4"/>
                <c:pt idx="0">
                  <c:v>-450</c:v>
                </c:pt>
                <c:pt idx="1">
                  <c:v>-7850</c:v>
                </c:pt>
                <c:pt idx="2">
                  <c:v>-7900</c:v>
                </c:pt>
                <c:pt idx="3">
                  <c:v>-3070</c:v>
                </c:pt>
              </c:numCache>
            </c:numRef>
          </c:val>
          <c:extLst>
            <c:ext xmlns:c16="http://schemas.microsoft.com/office/drawing/2014/chart" uri="{C3380CC4-5D6E-409C-BE32-E72D297353CC}">
              <c16:uniqueId val="{00000000-314F-4709-8B74-CBC117018107}"/>
            </c:ext>
          </c:extLst>
        </c:ser>
        <c:dLbls>
          <c:showLegendKey val="0"/>
          <c:showVal val="0"/>
          <c:showCatName val="0"/>
          <c:showSerName val="0"/>
          <c:showPercent val="0"/>
          <c:showBubbleSize val="0"/>
        </c:dLbls>
        <c:gapWidth val="182"/>
        <c:axId val="961491088"/>
        <c:axId val="961510768"/>
      </c:barChart>
      <c:catAx>
        <c:axId val="96149108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1510768"/>
        <c:crosses val="autoZero"/>
        <c:auto val="1"/>
        <c:lblAlgn val="ctr"/>
        <c:lblOffset val="100"/>
        <c:noMultiLvlLbl val="0"/>
      </c:catAx>
      <c:valAx>
        <c:axId val="961510768"/>
        <c:scaling>
          <c:orientation val="minMax"/>
        </c:scaling>
        <c:delete val="0"/>
        <c:axPos val="l"/>
        <c:numFmt formatCode="\$#,##0;\$#,##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961491088"/>
        <c:crosses val="autoZero"/>
        <c:crossBetween val="between"/>
      </c:valAx>
      <c:dTable>
        <c:showHorzBorder val="1"/>
        <c:showVertBorder val="1"/>
        <c:showOutline val="1"/>
        <c:showKeys val="1"/>
        <c:spPr>
          <a:noFill/>
          <a:ln w="12700" cap="flat" cmpd="sng" algn="ctr">
            <a:solidFill>
              <a:schemeClr val="accent1">
                <a:lumMod val="60000"/>
                <a:lumOff val="40000"/>
                <a:alpha val="82000"/>
              </a:schemeClr>
            </a:solidFill>
            <a:round/>
          </a:ln>
          <a:effectLst/>
        </c:spPr>
        <c:txPr>
          <a:bodyPr rot="0" spcFirstLastPara="1" vertOverflow="ellipsis" vert="horz" wrap="square" anchor="ctr" anchorCtr="1"/>
          <a:lstStyle/>
          <a:p>
            <a:pPr rtl="0">
              <a:defRPr sz="900" b="0" i="0" u="none" strike="noStrike" kern="1200" baseline="0">
                <a:solidFill>
                  <a:schemeClr val="bg1"/>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3</xdr:col>
      <xdr:colOff>419100</xdr:colOff>
      <xdr:row>2</xdr:row>
      <xdr:rowOff>38100</xdr:rowOff>
    </xdr:from>
    <xdr:to>
      <xdr:col>11</xdr:col>
      <xdr:colOff>91440</xdr:colOff>
      <xdr:row>19</xdr:row>
      <xdr:rowOff>0</xdr:rowOff>
    </xdr:to>
    <xdr:graphicFrame macro="">
      <xdr:nvGraphicFramePr>
        <xdr:cNvPr id="4" name="Chart 3">
          <a:extLst>
            <a:ext uri="{FF2B5EF4-FFF2-40B4-BE49-F238E27FC236}">
              <a16:creationId xmlns:a16="http://schemas.microsoft.com/office/drawing/2014/main" id="{6A47A836-5C23-5E4B-1BD2-B8CAD45A60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101601</xdr:colOff>
      <xdr:row>13</xdr:row>
      <xdr:rowOff>20053</xdr:rowOff>
    </xdr:from>
    <xdr:to>
      <xdr:col>5</xdr:col>
      <xdr:colOff>471237</xdr:colOff>
      <xdr:row>29</xdr:row>
      <xdr:rowOff>50801</xdr:rowOff>
    </xdr:to>
    <xdr:graphicFrame macro="">
      <xdr:nvGraphicFramePr>
        <xdr:cNvPr id="2" name="Chart 1">
          <a:extLst>
            <a:ext uri="{FF2B5EF4-FFF2-40B4-BE49-F238E27FC236}">
              <a16:creationId xmlns:a16="http://schemas.microsoft.com/office/drawing/2014/main" id="{A139A47A-3A9C-4748-A3EC-67B660CD4D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756502</xdr:colOff>
      <xdr:row>13</xdr:row>
      <xdr:rowOff>20053</xdr:rowOff>
    </xdr:from>
    <xdr:to>
      <xdr:col>10</xdr:col>
      <xdr:colOff>511341</xdr:colOff>
      <xdr:row>29</xdr:row>
      <xdr:rowOff>31564</xdr:rowOff>
    </xdr:to>
    <xdr:graphicFrame macro="">
      <xdr:nvGraphicFramePr>
        <xdr:cNvPr id="3" name="Chart 2">
          <a:extLst>
            <a:ext uri="{FF2B5EF4-FFF2-40B4-BE49-F238E27FC236}">
              <a16:creationId xmlns:a16="http://schemas.microsoft.com/office/drawing/2014/main" id="{D2CD0D2E-7C06-4837-BB29-05422CBF7D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120316</xdr:colOff>
      <xdr:row>13</xdr:row>
      <xdr:rowOff>56443</xdr:rowOff>
    </xdr:from>
    <xdr:to>
      <xdr:col>17</xdr:col>
      <xdr:colOff>350920</xdr:colOff>
      <xdr:row>29</xdr:row>
      <xdr:rowOff>50132</xdr:rowOff>
    </xdr:to>
    <xdr:graphicFrame macro="">
      <xdr:nvGraphicFramePr>
        <xdr:cNvPr id="4" name="Chart 3">
          <a:extLst>
            <a:ext uri="{FF2B5EF4-FFF2-40B4-BE49-F238E27FC236}">
              <a16:creationId xmlns:a16="http://schemas.microsoft.com/office/drawing/2014/main" id="{ADECE681-97E8-4D41-B0A0-C20A55E578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8</xdr:col>
      <xdr:colOff>314811</xdr:colOff>
      <xdr:row>5</xdr:row>
      <xdr:rowOff>94074</xdr:rowOff>
    </xdr:from>
    <xdr:to>
      <xdr:col>13</xdr:col>
      <xdr:colOff>310444</xdr:colOff>
      <xdr:row>12</xdr:row>
      <xdr:rowOff>136072</xdr:rowOff>
    </xdr:to>
    <mc:AlternateContent xmlns:mc="http://schemas.openxmlformats.org/markup-compatibility/2006">
      <mc:Choice xmlns:a14="http://schemas.microsoft.com/office/drawing/2010/main" Requires="a14">
        <xdr:graphicFrame macro="">
          <xdr:nvGraphicFramePr>
            <xdr:cNvPr id="5" name="Product Value">
              <a:extLst>
                <a:ext uri="{FF2B5EF4-FFF2-40B4-BE49-F238E27FC236}">
                  <a16:creationId xmlns:a16="http://schemas.microsoft.com/office/drawing/2014/main" id="{C8B89845-DCAF-46F2-8866-26BB7C717BC4}"/>
                </a:ext>
              </a:extLst>
            </xdr:cNvPr>
            <xdr:cNvGraphicFramePr/>
          </xdr:nvGraphicFramePr>
          <xdr:xfrm>
            <a:off x="0" y="0"/>
            <a:ext cx="0" cy="0"/>
          </xdr:xfrm>
          <a:graphic>
            <a:graphicData uri="http://schemas.microsoft.com/office/drawing/2010/slicer">
              <sle:slicer xmlns:sle="http://schemas.microsoft.com/office/drawing/2010/slicer" name="Product Value"/>
            </a:graphicData>
          </a:graphic>
        </xdr:graphicFrame>
      </mc:Choice>
      <mc:Fallback>
        <xdr:sp macro="" textlink="">
          <xdr:nvSpPr>
            <xdr:cNvPr id="0" name=""/>
            <xdr:cNvSpPr>
              <a:spLocks noTextEdit="1"/>
            </xdr:cNvSpPr>
          </xdr:nvSpPr>
          <xdr:spPr>
            <a:xfrm>
              <a:off x="8446153" y="1618074"/>
              <a:ext cx="3053659" cy="130531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317690</xdr:colOff>
      <xdr:row>0</xdr:row>
      <xdr:rowOff>65851</xdr:rowOff>
    </xdr:from>
    <xdr:to>
      <xdr:col>13</xdr:col>
      <xdr:colOff>310445</xdr:colOff>
      <xdr:row>2</xdr:row>
      <xdr:rowOff>270215</xdr:rowOff>
    </xdr:to>
    <mc:AlternateContent xmlns:mc="http://schemas.openxmlformats.org/markup-compatibility/2006">
      <mc:Choice xmlns:a14="http://schemas.microsoft.com/office/drawing/2010/main" Requires="a14">
        <xdr:graphicFrame macro="">
          <xdr:nvGraphicFramePr>
            <xdr:cNvPr id="6" name="Customer Type">
              <a:extLst>
                <a:ext uri="{FF2B5EF4-FFF2-40B4-BE49-F238E27FC236}">
                  <a16:creationId xmlns:a16="http://schemas.microsoft.com/office/drawing/2014/main" id="{535FC667-2F26-41B1-9938-419D93D610A2}"/>
                </a:ext>
              </a:extLst>
            </xdr:cNvPr>
            <xdr:cNvGraphicFramePr/>
          </xdr:nvGraphicFramePr>
          <xdr:xfrm>
            <a:off x="0" y="0"/>
            <a:ext cx="0" cy="0"/>
          </xdr:xfrm>
          <a:graphic>
            <a:graphicData uri="http://schemas.microsoft.com/office/drawing/2010/slicer">
              <sle:slicer xmlns:sle="http://schemas.microsoft.com/office/drawing/2010/slicer" name="Customer Type"/>
            </a:graphicData>
          </a:graphic>
        </xdr:graphicFrame>
      </mc:Choice>
      <mc:Fallback>
        <xdr:sp macro="" textlink="">
          <xdr:nvSpPr>
            <xdr:cNvPr id="0" name=""/>
            <xdr:cNvSpPr>
              <a:spLocks noTextEdit="1"/>
            </xdr:cNvSpPr>
          </xdr:nvSpPr>
          <xdr:spPr>
            <a:xfrm>
              <a:off x="8449032" y="65851"/>
              <a:ext cx="3050781" cy="109670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517408</xdr:colOff>
      <xdr:row>6</xdr:row>
      <xdr:rowOff>0</xdr:rowOff>
    </xdr:from>
    <xdr:to>
      <xdr:col>16</xdr:col>
      <xdr:colOff>555037</xdr:colOff>
      <xdr:row>12</xdr:row>
      <xdr:rowOff>159924</xdr:rowOff>
    </xdr:to>
    <mc:AlternateContent xmlns:mc="http://schemas.openxmlformats.org/markup-compatibility/2006">
      <mc:Choice xmlns:a14="http://schemas.microsoft.com/office/drawing/2010/main" Requires="a14">
        <xdr:graphicFrame macro="">
          <xdr:nvGraphicFramePr>
            <xdr:cNvPr id="7" name="Product Line">
              <a:extLst>
                <a:ext uri="{FF2B5EF4-FFF2-40B4-BE49-F238E27FC236}">
                  <a16:creationId xmlns:a16="http://schemas.microsoft.com/office/drawing/2014/main" id="{84C74EEC-E7D2-4B6D-B1D4-C60BFEC24150}"/>
                </a:ext>
              </a:extLst>
            </xdr:cNvPr>
            <xdr:cNvGraphicFramePr/>
          </xdr:nvGraphicFramePr>
          <xdr:xfrm>
            <a:off x="0" y="0"/>
            <a:ext cx="0" cy="0"/>
          </xdr:xfrm>
          <a:graphic>
            <a:graphicData uri="http://schemas.microsoft.com/office/drawing/2010/slicer">
              <sle:slicer xmlns:sle="http://schemas.microsoft.com/office/drawing/2010/slicer" name="Product Line"/>
            </a:graphicData>
          </a:graphic>
        </xdr:graphicFrame>
      </mc:Choice>
      <mc:Fallback>
        <xdr:sp macro="" textlink="">
          <xdr:nvSpPr>
            <xdr:cNvPr id="0" name=""/>
            <xdr:cNvSpPr>
              <a:spLocks noTextEdit="1"/>
            </xdr:cNvSpPr>
          </xdr:nvSpPr>
          <xdr:spPr>
            <a:xfrm>
              <a:off x="11706776" y="1704474"/>
              <a:ext cx="2865050" cy="124276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130022</xdr:colOff>
      <xdr:row>3</xdr:row>
      <xdr:rowOff>179008</xdr:rowOff>
    </xdr:from>
    <xdr:to>
      <xdr:col>7</xdr:col>
      <xdr:colOff>1620443</xdr:colOff>
      <xdr:row>11</xdr:row>
      <xdr:rowOff>99199</xdr:rowOff>
    </xdr:to>
    <mc:AlternateContent xmlns:mc="http://schemas.openxmlformats.org/markup-compatibility/2006">
      <mc:Choice xmlns:tsle="http://schemas.microsoft.com/office/drawing/2012/timeslicer" Requires="tsle">
        <xdr:graphicFrame macro="">
          <xdr:nvGraphicFramePr>
            <xdr:cNvPr id="9" name="Date 1">
              <a:extLst>
                <a:ext uri="{FF2B5EF4-FFF2-40B4-BE49-F238E27FC236}">
                  <a16:creationId xmlns:a16="http://schemas.microsoft.com/office/drawing/2014/main" id="{9330155D-2A30-44B3-AC6D-BE254B5FB5CC}"/>
                </a:ext>
              </a:extLst>
            </xdr:cNvPr>
            <xdr:cNvGraphicFramePr/>
          </xdr:nvGraphicFramePr>
          <xdr:xfrm>
            <a:off x="0" y="0"/>
            <a:ext cx="0" cy="0"/>
          </xdr:xfrm>
          <a:graphic>
            <a:graphicData uri="http://schemas.microsoft.com/office/drawing/2012/timeslicer">
              <tsle:timeslicer xmlns:tsle="http://schemas.microsoft.com/office/drawing/2012/timeslicer" name="Date 1"/>
            </a:graphicData>
          </a:graphic>
        </xdr:graphicFrame>
      </mc:Choice>
      <mc:Fallback>
        <xdr:sp macro="" textlink="">
          <xdr:nvSpPr>
            <xdr:cNvPr id="0" name=""/>
            <xdr:cNvSpPr>
              <a:spLocks noTextEdit="1"/>
            </xdr:cNvSpPr>
          </xdr:nvSpPr>
          <xdr:spPr>
            <a:xfrm>
              <a:off x="130022" y="1342061"/>
              <a:ext cx="7907263" cy="136398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13</xdr:col>
      <xdr:colOff>517408</xdr:colOff>
      <xdr:row>0</xdr:row>
      <xdr:rowOff>75257</xdr:rowOff>
    </xdr:from>
    <xdr:to>
      <xdr:col>16</xdr:col>
      <xdr:colOff>545630</xdr:colOff>
      <xdr:row>3</xdr:row>
      <xdr:rowOff>123533</xdr:rowOff>
    </xdr:to>
    <mc:AlternateContent xmlns:mc="http://schemas.openxmlformats.org/markup-compatibility/2006">
      <mc:Choice xmlns:a14="http://schemas.microsoft.com/office/drawing/2010/main" Requires="a14">
        <xdr:graphicFrame macro="">
          <xdr:nvGraphicFramePr>
            <xdr:cNvPr id="8" name="Customer Region">
              <a:extLst>
                <a:ext uri="{FF2B5EF4-FFF2-40B4-BE49-F238E27FC236}">
                  <a16:creationId xmlns:a16="http://schemas.microsoft.com/office/drawing/2014/main" id="{C07066A8-44E7-4C1B-98F3-6E013D6240D6}"/>
                </a:ext>
              </a:extLst>
            </xdr:cNvPr>
            <xdr:cNvGraphicFramePr/>
          </xdr:nvGraphicFramePr>
          <xdr:xfrm>
            <a:off x="0" y="0"/>
            <a:ext cx="0" cy="0"/>
          </xdr:xfrm>
          <a:graphic>
            <a:graphicData uri="http://schemas.microsoft.com/office/drawing/2010/slicer">
              <sle:slicer xmlns:sle="http://schemas.microsoft.com/office/drawing/2010/slicer" name="Customer Region"/>
            </a:graphicData>
          </a:graphic>
        </xdr:graphicFrame>
      </mc:Choice>
      <mc:Fallback>
        <xdr:sp macro="" textlink="">
          <xdr:nvSpPr>
            <xdr:cNvPr id="0" name=""/>
            <xdr:cNvSpPr>
              <a:spLocks noTextEdit="1"/>
            </xdr:cNvSpPr>
          </xdr:nvSpPr>
          <xdr:spPr>
            <a:xfrm>
              <a:off x="11706776" y="75257"/>
              <a:ext cx="2855643" cy="121132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465918</xdr:colOff>
      <xdr:row>0</xdr:row>
      <xdr:rowOff>119326</xdr:rowOff>
    </xdr:from>
    <xdr:to>
      <xdr:col>23</xdr:col>
      <xdr:colOff>381000</xdr:colOff>
      <xdr:row>29</xdr:row>
      <xdr:rowOff>150394</xdr:rowOff>
    </xdr:to>
    <xdr:graphicFrame macro="">
      <xdr:nvGraphicFramePr>
        <xdr:cNvPr id="14" name="Chart 12">
          <a:extLst>
            <a:ext uri="{FF2B5EF4-FFF2-40B4-BE49-F238E27FC236}">
              <a16:creationId xmlns:a16="http://schemas.microsoft.com/office/drawing/2014/main" id="{D095F6DA-9FB7-10E3-1D84-55C5890F0E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jmal Patel" refreshedDate="45239.464231944447" createdVersion="8" refreshedVersion="8" minRefreshableVersion="3" recordCount="507" xr:uid="{2B8E79E7-92D6-4691-95E0-B329AAAC11A0}">
  <cacheSource type="worksheet">
    <worksheetSource name="Invoices"/>
  </cacheSource>
  <cacheFields count="21">
    <cacheField name="Document Type" numFmtId="0">
      <sharedItems count="2">
        <s v="Invoice"/>
        <s v="Return"/>
      </sharedItems>
    </cacheField>
    <cacheField name="Document Number" numFmtId="0">
      <sharedItems containsSemiMixedTypes="0" containsString="0" containsNumber="1" containsInteger="1" minValue="22801" maxValue="22975"/>
    </cacheField>
    <cacheField name="Date" numFmtId="167">
      <sharedItems containsSemiMixedTypes="0" containsNonDate="0" containsDate="1" containsString="0" minDate="2013-01-01T00:00:00" maxDate="2014-01-01T00:00:00" count="59">
        <d v="2013-01-01T00:00:00"/>
        <d v="2013-01-04T00:00:00"/>
        <d v="2013-01-05T00:00:00"/>
        <d v="2013-01-10T00:00:00"/>
        <d v="2013-01-17T00:00:00"/>
        <d v="2013-01-24T00:00:00"/>
        <d v="2013-02-01T00:00:00"/>
        <d v="2013-02-04T00:00:00"/>
        <d v="2013-02-05T00:00:00"/>
        <d v="2013-02-07T00:00:00"/>
        <d v="2013-02-09T00:00:00"/>
        <d v="2013-03-01T00:00:00"/>
        <d v="2013-03-12T00:00:00"/>
        <d v="2013-03-15T00:00:00"/>
        <d v="2013-03-23T00:00:00"/>
        <d v="2013-04-01T00:00:00"/>
        <d v="2013-04-13T00:00:00"/>
        <d v="2013-04-14T00:00:00"/>
        <d v="2013-04-23T00:00:00"/>
        <d v="2013-05-01T00:00:00"/>
        <d v="2013-05-02T00:00:00"/>
        <d v="2013-05-03T00:00:00"/>
        <d v="2013-05-07T00:00:00"/>
        <d v="2013-05-17T00:00:00"/>
        <d v="2013-05-31T00:00:00"/>
        <d v="2013-06-01T00:00:00"/>
        <d v="2013-06-04T00:00:00"/>
        <d v="2013-06-08T00:00:00"/>
        <d v="2013-06-10T00:00:00"/>
        <d v="2013-06-14T00:00:00"/>
        <d v="2013-06-16T00:00:00"/>
        <d v="2013-06-26T00:00:00"/>
        <d v="2013-06-29T00:00:00"/>
        <d v="2013-07-01T00:00:00"/>
        <d v="2013-07-15T00:00:00"/>
        <d v="2013-07-26T00:00:00"/>
        <d v="2013-08-01T00:00:00"/>
        <d v="2013-08-04T00:00:00"/>
        <d v="2013-08-15T00:00:00"/>
        <d v="2013-09-01T00:00:00"/>
        <d v="2013-09-07T00:00:00"/>
        <d v="2013-09-15T00:00:00"/>
        <d v="2013-09-27T00:00:00"/>
        <d v="2013-09-30T00:00:00"/>
        <d v="2013-10-01T00:00:00"/>
        <d v="2013-10-15T00:00:00"/>
        <d v="2013-10-19T00:00:00"/>
        <d v="2013-10-23T00:00:00"/>
        <d v="2013-11-01T00:00:00"/>
        <d v="2013-11-11T00:00:00"/>
        <d v="2013-11-12T00:00:00"/>
        <d v="2013-11-15T00:00:00"/>
        <d v="2013-11-29T00:00:00"/>
        <d v="2013-12-01T00:00:00"/>
        <d v="2013-12-04T00:00:00"/>
        <d v="2013-12-08T00:00:00"/>
        <d v="2013-12-12T00:00:00"/>
        <d v="2013-12-15T00:00:00"/>
        <d v="2013-12-31T00:00:00"/>
      </sharedItems>
    </cacheField>
    <cacheField name="Customer Account" numFmtId="0">
      <sharedItems containsSemiMixedTypes="0" containsString="0" containsNumber="1" containsInteger="1" minValue="101" maxValue="119"/>
    </cacheField>
    <cacheField name="Customer Name" numFmtId="0">
      <sharedItems/>
    </cacheField>
    <cacheField name="Item" numFmtId="0">
      <sharedItems containsSemiMixedTypes="0" containsString="0" containsNumber="1" containsInteger="1" minValue="1" maxValue="10"/>
    </cacheField>
    <cacheField name="Reason Code" numFmtId="0">
      <sharedItems containsBlank="1" count="5">
        <m/>
        <s v="Customer Ordered Wrong Part"/>
        <s v="Defective Product"/>
        <s v="Not needed"/>
        <s v="Damaged in transit"/>
      </sharedItems>
    </cacheField>
    <cacheField name="Part  #" numFmtId="0">
      <sharedItems/>
    </cacheField>
    <cacheField name="Description" numFmtId="0">
      <sharedItems count="35">
        <s v="Paper - Dot Matrix - 11 inches - Standard"/>
        <s v="Printer Ribbon Dot Matrix - Premium"/>
        <s v="Paper - Dot Matrix - 11 inches - Premium"/>
        <s v="Dot Matrix Printer - 11 inch - Std Speed"/>
        <s v="Serial cable - 10 feet"/>
        <s v="Power cord - 10 feet"/>
        <s v="Power supply - Standard"/>
        <s v="Cleaning Kit - Dot Matrix Printer"/>
        <s v="Dot Matrix Printer - 11 inch - High Speed"/>
        <s v="Serial cable - 20 feet"/>
        <s v="Power cord - 20 feet"/>
        <s v="Dot Matrix Printer - 17 inch - High Speed"/>
        <s v="Power supply - Premium"/>
        <s v="Paper - Dot Matrix - 17 inches - Standard"/>
        <s v="Laser Printer - 17 inch - Color - High Speed"/>
        <s v="Ethernet cable - 20 feet"/>
        <s v="Paper - Standard - 17 inches - Photo Quality"/>
        <s v="Laser All-in-One - 17 inch Color High Speed"/>
        <s v="USB cable - 20 feet"/>
        <s v="Black Toner Laser Printer"/>
        <s v="Color Toner Pack Laser Printer"/>
        <s v="Paper - Standard - 17 inches - Text Quality"/>
        <s v="Laser Printer - 11 inch - Color - High Speed"/>
        <s v="Laser Printer - 11 inch - B&amp;W - High Speed"/>
        <s v="Printer Ribbon Dot Matrix - Standard"/>
        <s v="Inkjet All-in-One - B&amp;W - 11 inch"/>
        <s v="USB cable - 10 feet"/>
        <s v="Cleaning Kit - Inkjet Printer"/>
        <s v="Laser All-in-One - 11 inch Color High Speed"/>
        <s v="Cleaning Kit - Laser Printer"/>
        <s v="Black Toner InkJet Printer"/>
        <s v="Color Toner Pack Inkjet Printer"/>
        <s v="Laser All-in-One - 11 inch B&amp;W High Speed"/>
        <s v="Paper - Standard - 11 inches - Text Quality"/>
        <s v="Inkjet All-in-One - Color - 11 inch"/>
      </sharedItems>
    </cacheField>
    <cacheField name="Quantity" numFmtId="0">
      <sharedItems containsString="0" containsBlank="1" containsNumber="1" containsInteger="1" minValue="1" maxValue="250"/>
    </cacheField>
    <cacheField name="Unit Price" numFmtId="169">
      <sharedItems containsSemiMixedTypes="0" containsString="0" containsNumber="1" minValue="0" maxValue="2700"/>
    </cacheField>
    <cacheField name="New Unit Price" numFmtId="0">
      <sharedItems containsSemiMixedTypes="0" containsString="0" containsNumber="1" minValue="-2700" maxValue="2700"/>
    </cacheField>
    <cacheField name="Product Value" numFmtId="0">
      <sharedItems count="4">
        <s v="Basic"/>
        <s v="Premium"/>
        <s v="Free"/>
        <s v="Return"/>
      </sharedItems>
    </cacheField>
    <cacheField name="Unit Cost" numFmtId="0">
      <sharedItems containsSemiMixedTypes="0" containsString="0" containsNumber="1" minValue="3.43" maxValue="1440.45"/>
    </cacheField>
    <cacheField name="Customer Type" numFmtId="0">
      <sharedItems count="2">
        <s v="Automotive"/>
        <s v="Financial"/>
      </sharedItems>
    </cacheField>
    <cacheField name="Customer Region" numFmtId="0">
      <sharedItems count="6">
        <s v="Tennessee"/>
        <s v="Georgia"/>
        <s v="North Carolina"/>
        <s v="Florida"/>
        <s v="Alabama"/>
        <s v="South Carolina"/>
      </sharedItems>
    </cacheField>
    <cacheField name="Product Line" numFmtId="0">
      <sharedItems count="3">
        <s v="Consumables"/>
        <s v="Product"/>
        <s v="Accessories"/>
      </sharedItems>
    </cacheField>
    <cacheField name="Cost" numFmtId="169">
      <sharedItems containsSemiMixedTypes="0" containsString="0" containsNumber="1" minValue="0" maxValue="44955"/>
    </cacheField>
    <cacheField name="Revenue" numFmtId="169">
      <sharedItems containsSemiMixedTypes="0" containsString="0" containsNumber="1" minValue="-5400" maxValue="75000"/>
    </cacheField>
    <cacheField name="Profit" numFmtId="169">
      <sharedItems containsSemiMixedTypes="0" containsString="0" containsNumber="1" minValue="-8386.77" maxValue="30045"/>
    </cacheField>
    <cacheField name="Profit Margin" numFmtId="0" formula="Profit/Revenue" databaseField="0"/>
  </cacheFields>
  <extLst>
    <ext xmlns:x14="http://schemas.microsoft.com/office/spreadsheetml/2009/9/main" uri="{725AE2AE-9491-48be-B2B4-4EB974FC3084}">
      <x14:pivotCacheDefinition pivotCacheId="177538344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7">
  <r>
    <x v="0"/>
    <n v="22801"/>
    <x v="0"/>
    <n v="106"/>
    <s v="JS Automotive"/>
    <n v="1"/>
    <x v="0"/>
    <s v="C5101"/>
    <x v="0"/>
    <n v="80"/>
    <n v="18"/>
    <n v="18"/>
    <x v="0"/>
    <n v="4.58"/>
    <x v="0"/>
    <x v="0"/>
    <x v="0"/>
    <n v="366.4"/>
    <n v="1440"/>
    <n v="1073.5999999999999"/>
  </r>
  <r>
    <x v="0"/>
    <n v="22801"/>
    <x v="0"/>
    <n v="106"/>
    <s v="JS Automotive"/>
    <n v="2"/>
    <x v="0"/>
    <s v="C5110"/>
    <x v="1"/>
    <n v="20"/>
    <n v="70"/>
    <n v="70"/>
    <x v="0"/>
    <n v="13.92"/>
    <x v="0"/>
    <x v="0"/>
    <x v="0"/>
    <n v="278.39999999999998"/>
    <n v="1400"/>
    <n v="1121.5999999999999"/>
  </r>
  <r>
    <x v="0"/>
    <n v="22802"/>
    <x v="1"/>
    <n v="107"/>
    <s v="Erwin Mortgage"/>
    <n v="1"/>
    <x v="0"/>
    <s v="C5103"/>
    <x v="2"/>
    <n v="10"/>
    <n v="30"/>
    <n v="30"/>
    <x v="0"/>
    <n v="6.9"/>
    <x v="1"/>
    <x v="1"/>
    <x v="0"/>
    <n v="69"/>
    <n v="300"/>
    <n v="231"/>
  </r>
  <r>
    <x v="0"/>
    <n v="22802"/>
    <x v="1"/>
    <n v="107"/>
    <s v="Erwin Mortgage"/>
    <n v="2"/>
    <x v="0"/>
    <s v="C5110"/>
    <x v="1"/>
    <n v="2"/>
    <n v="70"/>
    <n v="70"/>
    <x v="0"/>
    <n v="13.92"/>
    <x v="1"/>
    <x v="1"/>
    <x v="0"/>
    <n v="27.84"/>
    <n v="140"/>
    <n v="112.16"/>
  </r>
  <r>
    <x v="0"/>
    <n v="22803"/>
    <x v="2"/>
    <n v="117"/>
    <s v="Sullivan Motors"/>
    <n v="1"/>
    <x v="0"/>
    <s v="C5110"/>
    <x v="1"/>
    <n v="12"/>
    <n v="70"/>
    <n v="70"/>
    <x v="0"/>
    <n v="13.92"/>
    <x v="0"/>
    <x v="1"/>
    <x v="0"/>
    <n v="167.04"/>
    <n v="840"/>
    <n v="672.96"/>
  </r>
  <r>
    <x v="0"/>
    <n v="22803"/>
    <x v="2"/>
    <n v="117"/>
    <s v="Sullivan Motors"/>
    <n v="2"/>
    <x v="0"/>
    <s v="C5103"/>
    <x v="2"/>
    <n v="12"/>
    <n v="30"/>
    <n v="30"/>
    <x v="0"/>
    <n v="6.9"/>
    <x v="0"/>
    <x v="1"/>
    <x v="0"/>
    <n v="82.800000000000011"/>
    <n v="360"/>
    <n v="277.2"/>
  </r>
  <r>
    <x v="0"/>
    <n v="22804"/>
    <x v="2"/>
    <n v="112"/>
    <s v="Macon Financial Title Company"/>
    <n v="1"/>
    <x v="0"/>
    <s v="C5110"/>
    <x v="1"/>
    <n v="5"/>
    <n v="70"/>
    <n v="70"/>
    <x v="0"/>
    <n v="13.92"/>
    <x v="1"/>
    <x v="1"/>
    <x v="0"/>
    <n v="69.599999999999994"/>
    <n v="350"/>
    <n v="280.39999999999998"/>
  </r>
  <r>
    <x v="0"/>
    <n v="22804"/>
    <x v="2"/>
    <n v="112"/>
    <s v="Macon Financial Title Company"/>
    <n v="2"/>
    <x v="0"/>
    <s v="C5103"/>
    <x v="2"/>
    <n v="5"/>
    <n v="30"/>
    <n v="30"/>
    <x v="0"/>
    <n v="6.9"/>
    <x v="1"/>
    <x v="1"/>
    <x v="0"/>
    <n v="34.5"/>
    <n v="150"/>
    <n v="115.5"/>
  </r>
  <r>
    <x v="0"/>
    <n v="22805"/>
    <x v="3"/>
    <n v="101"/>
    <s v="Johnson Auto Group"/>
    <n v="1"/>
    <x v="0"/>
    <s v="P1101"/>
    <x v="3"/>
    <n v="2"/>
    <n v="500"/>
    <n v="500"/>
    <x v="1"/>
    <n v="295.10000000000002"/>
    <x v="0"/>
    <x v="1"/>
    <x v="1"/>
    <n v="590.20000000000005"/>
    <n v="1000"/>
    <n v="409.79999999999995"/>
  </r>
  <r>
    <x v="0"/>
    <n v="22805"/>
    <x v="3"/>
    <n v="101"/>
    <s v="Johnson Auto Group"/>
    <n v="2"/>
    <x v="0"/>
    <s v="A2101"/>
    <x v="4"/>
    <n v="2"/>
    <n v="25"/>
    <n v="25"/>
    <x v="0"/>
    <n v="12.17"/>
    <x v="0"/>
    <x v="1"/>
    <x v="2"/>
    <n v="24.34"/>
    <n v="50"/>
    <n v="25.66"/>
  </r>
  <r>
    <x v="0"/>
    <n v="22805"/>
    <x v="3"/>
    <n v="101"/>
    <s v="Johnson Auto Group"/>
    <n v="3"/>
    <x v="0"/>
    <s v="A2113"/>
    <x v="5"/>
    <n v="2"/>
    <n v="20"/>
    <n v="20"/>
    <x v="0"/>
    <n v="8.15"/>
    <x v="0"/>
    <x v="1"/>
    <x v="2"/>
    <n v="16.3"/>
    <n v="40"/>
    <n v="23.7"/>
  </r>
  <r>
    <x v="0"/>
    <n v="22805"/>
    <x v="3"/>
    <n v="101"/>
    <s v="Johnson Auto Group"/>
    <n v="4"/>
    <x v="0"/>
    <s v="A2116"/>
    <x v="6"/>
    <n v="2"/>
    <n v="40"/>
    <n v="40"/>
    <x v="0"/>
    <n v="12.33"/>
    <x v="0"/>
    <x v="1"/>
    <x v="2"/>
    <n v="24.66"/>
    <n v="80"/>
    <n v="55.34"/>
  </r>
  <r>
    <x v="0"/>
    <n v="22805"/>
    <x v="3"/>
    <n v="101"/>
    <s v="Johnson Auto Group"/>
    <n v="5"/>
    <x v="0"/>
    <s v="A2118"/>
    <x v="7"/>
    <n v="2"/>
    <n v="250"/>
    <n v="250"/>
    <x v="1"/>
    <n v="89.7"/>
    <x v="0"/>
    <x v="1"/>
    <x v="2"/>
    <n v="179.4"/>
    <n v="500"/>
    <n v="320.60000000000002"/>
  </r>
  <r>
    <x v="0"/>
    <n v="22807"/>
    <x v="3"/>
    <n v="101"/>
    <s v="Johnson Auto Group"/>
    <n v="6"/>
    <x v="0"/>
    <s v="C5101"/>
    <x v="0"/>
    <n v="10"/>
    <n v="20"/>
    <n v="20"/>
    <x v="0"/>
    <n v="4.58"/>
    <x v="0"/>
    <x v="1"/>
    <x v="0"/>
    <n v="45.8"/>
    <n v="200"/>
    <n v="154.19999999999999"/>
  </r>
  <r>
    <x v="0"/>
    <n v="22808"/>
    <x v="3"/>
    <n v="113"/>
    <s v="Jefferson Mortgage"/>
    <n v="1"/>
    <x v="0"/>
    <s v="P1105"/>
    <x v="8"/>
    <n v="1"/>
    <n v="1500"/>
    <n v="1500"/>
    <x v="1"/>
    <n v="899.1"/>
    <x v="1"/>
    <x v="1"/>
    <x v="1"/>
    <n v="899.1"/>
    <n v="1500"/>
    <n v="600.9"/>
  </r>
  <r>
    <x v="0"/>
    <n v="22808"/>
    <x v="3"/>
    <n v="113"/>
    <s v="Jefferson Mortgage"/>
    <n v="2"/>
    <x v="0"/>
    <s v="A2102"/>
    <x v="9"/>
    <n v="1"/>
    <n v="0"/>
    <n v="0"/>
    <x v="2"/>
    <n v="13.79"/>
    <x v="1"/>
    <x v="1"/>
    <x v="2"/>
    <n v="13.79"/>
    <n v="0"/>
    <n v="-13.79"/>
  </r>
  <r>
    <x v="0"/>
    <n v="22808"/>
    <x v="3"/>
    <n v="113"/>
    <s v="Jefferson Mortgage"/>
    <n v="3"/>
    <x v="0"/>
    <s v="A2114"/>
    <x v="10"/>
    <n v="1"/>
    <n v="0"/>
    <n v="0"/>
    <x v="2"/>
    <n v="11.59"/>
    <x v="1"/>
    <x v="1"/>
    <x v="2"/>
    <n v="11.59"/>
    <n v="0"/>
    <n v="-11.59"/>
  </r>
  <r>
    <x v="0"/>
    <n v="22808"/>
    <x v="3"/>
    <n v="113"/>
    <s v="Jefferson Mortgage"/>
    <n v="4"/>
    <x v="0"/>
    <s v="A2116"/>
    <x v="6"/>
    <n v="1"/>
    <n v="0"/>
    <n v="0"/>
    <x v="2"/>
    <n v="12.33"/>
    <x v="1"/>
    <x v="1"/>
    <x v="2"/>
    <n v="12.33"/>
    <n v="0"/>
    <n v="-12.33"/>
  </r>
  <r>
    <x v="0"/>
    <n v="22808"/>
    <x v="3"/>
    <n v="113"/>
    <s v="Jefferson Mortgage"/>
    <n v="5"/>
    <x v="0"/>
    <s v="A2118"/>
    <x v="7"/>
    <n v="1"/>
    <n v="0"/>
    <n v="0"/>
    <x v="2"/>
    <n v="89.7"/>
    <x v="1"/>
    <x v="1"/>
    <x v="2"/>
    <n v="89.7"/>
    <n v="0"/>
    <n v="-89.7"/>
  </r>
  <r>
    <x v="0"/>
    <n v="22808"/>
    <x v="3"/>
    <n v="113"/>
    <s v="Jefferson Mortgage"/>
    <n v="6"/>
    <x v="0"/>
    <s v="C5101"/>
    <x v="0"/>
    <n v="3"/>
    <n v="20"/>
    <n v="20"/>
    <x v="0"/>
    <n v="4.58"/>
    <x v="1"/>
    <x v="1"/>
    <x v="0"/>
    <n v="13.74"/>
    <n v="60"/>
    <n v="46.26"/>
  </r>
  <r>
    <x v="1"/>
    <n v="22806"/>
    <x v="4"/>
    <n v="101"/>
    <s v="Johnson Auto Group"/>
    <n v="1"/>
    <x v="1"/>
    <s v="A2101"/>
    <x v="4"/>
    <n v="2"/>
    <n v="25"/>
    <n v="-25"/>
    <x v="3"/>
    <n v="12.17"/>
    <x v="0"/>
    <x v="1"/>
    <x v="2"/>
    <n v="24.34"/>
    <n v="-50"/>
    <n v="-74.34"/>
  </r>
  <r>
    <x v="1"/>
    <n v="22806"/>
    <x v="4"/>
    <n v="101"/>
    <s v="Johnson Auto Group"/>
    <n v="2"/>
    <x v="1"/>
    <s v="A2113"/>
    <x v="5"/>
    <n v="2"/>
    <n v="20"/>
    <n v="-20"/>
    <x v="3"/>
    <n v="8.15"/>
    <x v="0"/>
    <x v="1"/>
    <x v="2"/>
    <n v="16.3"/>
    <n v="-40"/>
    <n v="-56.3"/>
  </r>
  <r>
    <x v="0"/>
    <n v="22807"/>
    <x v="5"/>
    <n v="101"/>
    <s v="Johnson Auto Group"/>
    <n v="1"/>
    <x v="0"/>
    <s v="A2101"/>
    <x v="4"/>
    <n v="2"/>
    <n v="25"/>
    <n v="25"/>
    <x v="0"/>
    <n v="12.17"/>
    <x v="0"/>
    <x v="1"/>
    <x v="2"/>
    <n v="24.34"/>
    <n v="50"/>
    <n v="25.66"/>
  </r>
  <r>
    <x v="0"/>
    <n v="22807"/>
    <x v="5"/>
    <n v="101"/>
    <s v="Johnson Auto Group"/>
    <n v="2"/>
    <x v="0"/>
    <s v="A2113"/>
    <x v="5"/>
    <n v="2"/>
    <n v="20"/>
    <n v="20"/>
    <x v="0"/>
    <n v="8.15"/>
    <x v="0"/>
    <x v="1"/>
    <x v="2"/>
    <n v="16.3"/>
    <n v="40"/>
    <n v="23.7"/>
  </r>
  <r>
    <x v="0"/>
    <n v="22809"/>
    <x v="6"/>
    <n v="106"/>
    <s v="JS Automotive"/>
    <n v="1"/>
    <x v="0"/>
    <s v="C5101"/>
    <x v="0"/>
    <n v="80"/>
    <n v="18"/>
    <n v="18"/>
    <x v="0"/>
    <n v="4.58"/>
    <x v="0"/>
    <x v="0"/>
    <x v="0"/>
    <n v="366.4"/>
    <n v="1440"/>
    <n v="1073.5999999999999"/>
  </r>
  <r>
    <x v="0"/>
    <n v="22809"/>
    <x v="6"/>
    <n v="106"/>
    <s v="JS Automotive"/>
    <n v="2"/>
    <x v="0"/>
    <s v="C5110"/>
    <x v="1"/>
    <n v="20"/>
    <n v="70"/>
    <n v="70"/>
    <x v="0"/>
    <n v="13.92"/>
    <x v="0"/>
    <x v="0"/>
    <x v="0"/>
    <n v="278.39999999999998"/>
    <n v="1400"/>
    <n v="1121.5999999999999"/>
  </r>
  <r>
    <x v="0"/>
    <n v="22810"/>
    <x v="6"/>
    <n v="107"/>
    <s v="Erwin Mortgage"/>
    <n v="1"/>
    <x v="0"/>
    <s v="C5103"/>
    <x v="2"/>
    <n v="10"/>
    <n v="30"/>
    <n v="30"/>
    <x v="0"/>
    <n v="6.9"/>
    <x v="1"/>
    <x v="1"/>
    <x v="0"/>
    <n v="69"/>
    <n v="300"/>
    <n v="231"/>
  </r>
  <r>
    <x v="0"/>
    <n v="22810"/>
    <x v="6"/>
    <n v="107"/>
    <s v="Erwin Mortgage"/>
    <n v="2"/>
    <x v="0"/>
    <s v="C5110"/>
    <x v="1"/>
    <n v="2"/>
    <n v="70"/>
    <n v="70"/>
    <x v="0"/>
    <n v="13.92"/>
    <x v="1"/>
    <x v="1"/>
    <x v="0"/>
    <n v="27.84"/>
    <n v="140"/>
    <n v="112.16"/>
  </r>
  <r>
    <x v="0"/>
    <n v="22811"/>
    <x v="6"/>
    <n v="112"/>
    <s v="Macon Financial Title Company"/>
    <n v="1"/>
    <x v="0"/>
    <s v="C5110"/>
    <x v="1"/>
    <n v="5"/>
    <n v="70"/>
    <n v="70"/>
    <x v="0"/>
    <n v="13.92"/>
    <x v="1"/>
    <x v="1"/>
    <x v="0"/>
    <n v="69.599999999999994"/>
    <n v="350"/>
    <n v="280.39999999999998"/>
  </r>
  <r>
    <x v="0"/>
    <n v="22811"/>
    <x v="6"/>
    <n v="112"/>
    <s v="Macon Financial Title Company"/>
    <n v="2"/>
    <x v="0"/>
    <s v="C5103"/>
    <x v="2"/>
    <n v="5"/>
    <n v="30"/>
    <n v="30"/>
    <x v="0"/>
    <n v="6.9"/>
    <x v="1"/>
    <x v="1"/>
    <x v="0"/>
    <n v="34.5"/>
    <n v="150"/>
    <n v="115.5"/>
  </r>
  <r>
    <x v="0"/>
    <n v="22812"/>
    <x v="6"/>
    <n v="117"/>
    <s v="Sullivan Motors"/>
    <n v="1"/>
    <x v="0"/>
    <s v="C5110"/>
    <x v="1"/>
    <n v="12"/>
    <n v="70"/>
    <n v="70"/>
    <x v="0"/>
    <n v="13.92"/>
    <x v="0"/>
    <x v="1"/>
    <x v="0"/>
    <n v="167.04"/>
    <n v="840"/>
    <n v="672.96"/>
  </r>
  <r>
    <x v="0"/>
    <n v="22812"/>
    <x v="6"/>
    <n v="117"/>
    <s v="Sullivan Motors"/>
    <n v="2"/>
    <x v="0"/>
    <s v="C5103"/>
    <x v="2"/>
    <n v="12"/>
    <n v="30"/>
    <n v="30"/>
    <x v="0"/>
    <n v="6.9"/>
    <x v="0"/>
    <x v="1"/>
    <x v="0"/>
    <n v="82.800000000000011"/>
    <n v="360"/>
    <n v="277.2"/>
  </r>
  <r>
    <x v="0"/>
    <n v="22813"/>
    <x v="7"/>
    <n v="102"/>
    <s v="McKesson Auto Group"/>
    <n v="1"/>
    <x v="0"/>
    <s v="P1107"/>
    <x v="11"/>
    <n v="5"/>
    <n v="1800"/>
    <n v="1800"/>
    <x v="1"/>
    <n v="1050.3800000000001"/>
    <x v="0"/>
    <x v="1"/>
    <x v="1"/>
    <n v="5251.9000000000005"/>
    <n v="9000"/>
    <n v="3748.0999999999995"/>
  </r>
  <r>
    <x v="0"/>
    <n v="22813"/>
    <x v="7"/>
    <n v="102"/>
    <s v="McKesson Auto Group"/>
    <n v="2"/>
    <x v="0"/>
    <s v="A2102"/>
    <x v="9"/>
    <n v="5"/>
    <n v="35"/>
    <n v="35"/>
    <x v="0"/>
    <n v="13.79"/>
    <x v="0"/>
    <x v="1"/>
    <x v="2"/>
    <n v="68.949999999999989"/>
    <n v="175"/>
    <n v="106.05000000000001"/>
  </r>
  <r>
    <x v="0"/>
    <n v="22813"/>
    <x v="7"/>
    <n v="102"/>
    <s v="McKesson Auto Group"/>
    <n v="3"/>
    <x v="0"/>
    <s v="A2114"/>
    <x v="10"/>
    <n v="5"/>
    <n v="30"/>
    <n v="30"/>
    <x v="0"/>
    <n v="11.59"/>
    <x v="0"/>
    <x v="1"/>
    <x v="2"/>
    <n v="57.95"/>
    <n v="150"/>
    <n v="92.05"/>
  </r>
  <r>
    <x v="0"/>
    <n v="22813"/>
    <x v="7"/>
    <n v="102"/>
    <s v="McKesson Auto Group"/>
    <n v="4"/>
    <x v="0"/>
    <s v="A2117"/>
    <x v="12"/>
    <n v="5"/>
    <n v="60"/>
    <n v="60"/>
    <x v="0"/>
    <n v="17.22"/>
    <x v="0"/>
    <x v="1"/>
    <x v="2"/>
    <n v="86.1"/>
    <n v="300"/>
    <n v="213.9"/>
  </r>
  <r>
    <x v="0"/>
    <n v="22813"/>
    <x v="7"/>
    <n v="102"/>
    <s v="McKesson Auto Group"/>
    <n v="5"/>
    <x v="0"/>
    <s v="C5102"/>
    <x v="13"/>
    <n v="20"/>
    <n v="35"/>
    <n v="35"/>
    <x v="0"/>
    <n v="6.37"/>
    <x v="0"/>
    <x v="1"/>
    <x v="0"/>
    <n v="127.4"/>
    <n v="700"/>
    <n v="572.6"/>
  </r>
  <r>
    <x v="0"/>
    <n v="22816"/>
    <x v="8"/>
    <n v="101"/>
    <s v="Johnson Auto Group"/>
    <n v="1"/>
    <x v="0"/>
    <s v="P1101"/>
    <x v="3"/>
    <n v="10"/>
    <n v="500"/>
    <n v="500"/>
    <x v="1"/>
    <n v="295.10000000000002"/>
    <x v="0"/>
    <x v="1"/>
    <x v="1"/>
    <n v="2951"/>
    <n v="5000"/>
    <n v="2049"/>
  </r>
  <r>
    <x v="0"/>
    <n v="22816"/>
    <x v="8"/>
    <n v="101"/>
    <s v="Johnson Auto Group"/>
    <n v="2"/>
    <x v="0"/>
    <s v="A2101"/>
    <x v="4"/>
    <n v="10"/>
    <n v="25"/>
    <n v="25"/>
    <x v="0"/>
    <n v="12.17"/>
    <x v="0"/>
    <x v="1"/>
    <x v="2"/>
    <n v="121.7"/>
    <n v="250"/>
    <n v="128.30000000000001"/>
  </r>
  <r>
    <x v="0"/>
    <n v="22816"/>
    <x v="8"/>
    <n v="101"/>
    <s v="Johnson Auto Group"/>
    <n v="3"/>
    <x v="0"/>
    <s v="A2113"/>
    <x v="5"/>
    <n v="10"/>
    <n v="20"/>
    <n v="20"/>
    <x v="0"/>
    <n v="8.15"/>
    <x v="0"/>
    <x v="1"/>
    <x v="2"/>
    <n v="81.5"/>
    <n v="200"/>
    <n v="118.5"/>
  </r>
  <r>
    <x v="0"/>
    <n v="22816"/>
    <x v="8"/>
    <n v="101"/>
    <s v="Johnson Auto Group"/>
    <n v="4"/>
    <x v="0"/>
    <s v="A2116"/>
    <x v="6"/>
    <n v="10"/>
    <n v="40"/>
    <n v="40"/>
    <x v="0"/>
    <n v="12.33"/>
    <x v="0"/>
    <x v="1"/>
    <x v="2"/>
    <n v="123.3"/>
    <n v="400"/>
    <n v="276.7"/>
  </r>
  <r>
    <x v="0"/>
    <n v="22816"/>
    <x v="8"/>
    <n v="101"/>
    <s v="Johnson Auto Group"/>
    <n v="5"/>
    <x v="0"/>
    <s v="C5101"/>
    <x v="0"/>
    <n v="100"/>
    <n v="16"/>
    <n v="16"/>
    <x v="0"/>
    <n v="4.58"/>
    <x v="0"/>
    <x v="1"/>
    <x v="0"/>
    <n v="458"/>
    <n v="1600"/>
    <n v="1142"/>
  </r>
  <r>
    <x v="1"/>
    <n v="22814"/>
    <x v="9"/>
    <n v="102"/>
    <s v="McKesson Auto Group"/>
    <n v="1"/>
    <x v="2"/>
    <s v="P1107"/>
    <x v="11"/>
    <n v="1"/>
    <n v="1800"/>
    <n v="-1800"/>
    <x v="3"/>
    <n v="1050.3800000000001"/>
    <x v="0"/>
    <x v="1"/>
    <x v="1"/>
    <n v="1050.3800000000001"/>
    <n v="-1800"/>
    <n v="-2850.38"/>
  </r>
  <r>
    <x v="0"/>
    <n v="22817"/>
    <x v="9"/>
    <n v="104"/>
    <s v="Cammarano Automotive"/>
    <n v="1"/>
    <x v="0"/>
    <s v="P1101"/>
    <x v="3"/>
    <n v="2"/>
    <n v="500"/>
    <n v="500"/>
    <x v="1"/>
    <n v="295.10000000000002"/>
    <x v="0"/>
    <x v="2"/>
    <x v="1"/>
    <n v="590.20000000000005"/>
    <n v="1000"/>
    <n v="409.79999999999995"/>
  </r>
  <r>
    <x v="0"/>
    <n v="22817"/>
    <x v="9"/>
    <n v="104"/>
    <s v="Cammarano Automotive"/>
    <n v="2"/>
    <x v="0"/>
    <s v="A2102"/>
    <x v="9"/>
    <n v="2"/>
    <n v="35"/>
    <n v="35"/>
    <x v="0"/>
    <n v="13.79"/>
    <x v="0"/>
    <x v="2"/>
    <x v="2"/>
    <n v="27.58"/>
    <n v="70"/>
    <n v="42.42"/>
  </r>
  <r>
    <x v="0"/>
    <n v="22817"/>
    <x v="9"/>
    <n v="104"/>
    <s v="Cammarano Automotive"/>
    <n v="3"/>
    <x v="0"/>
    <s v="A2114"/>
    <x v="10"/>
    <n v="2"/>
    <n v="30"/>
    <n v="30"/>
    <x v="0"/>
    <n v="11.59"/>
    <x v="0"/>
    <x v="2"/>
    <x v="2"/>
    <n v="23.18"/>
    <n v="60"/>
    <n v="36.82"/>
  </r>
  <r>
    <x v="0"/>
    <n v="22817"/>
    <x v="9"/>
    <n v="104"/>
    <s v="Cammarano Automotive"/>
    <n v="4"/>
    <x v="0"/>
    <s v="A2116"/>
    <x v="6"/>
    <n v="2"/>
    <n v="40"/>
    <n v="40"/>
    <x v="0"/>
    <n v="12.33"/>
    <x v="0"/>
    <x v="2"/>
    <x v="2"/>
    <n v="24.66"/>
    <n v="80"/>
    <n v="55.34"/>
  </r>
  <r>
    <x v="0"/>
    <n v="22817"/>
    <x v="9"/>
    <n v="104"/>
    <s v="Cammarano Automotive"/>
    <n v="5"/>
    <x v="0"/>
    <s v="A2118"/>
    <x v="7"/>
    <n v="1"/>
    <n v="250"/>
    <n v="250"/>
    <x v="1"/>
    <n v="89.7"/>
    <x v="0"/>
    <x v="2"/>
    <x v="2"/>
    <n v="89.7"/>
    <n v="250"/>
    <n v="160.30000000000001"/>
  </r>
  <r>
    <x v="0"/>
    <n v="22817"/>
    <x v="9"/>
    <n v="104"/>
    <s v="Cammarano Automotive"/>
    <n v="6"/>
    <x v="0"/>
    <s v="C5101"/>
    <x v="0"/>
    <n v="10"/>
    <n v="20"/>
    <n v="20"/>
    <x v="0"/>
    <n v="4.58"/>
    <x v="0"/>
    <x v="2"/>
    <x v="0"/>
    <n v="45.8"/>
    <n v="200"/>
    <n v="154.19999999999999"/>
  </r>
  <r>
    <x v="0"/>
    <n v="22815"/>
    <x v="10"/>
    <n v="102"/>
    <s v="McKesson Auto Group"/>
    <n v="1"/>
    <x v="0"/>
    <s v="P1107"/>
    <x v="11"/>
    <n v="1"/>
    <n v="1800"/>
    <n v="1800"/>
    <x v="1"/>
    <n v="1050.3800000000001"/>
    <x v="0"/>
    <x v="1"/>
    <x v="1"/>
    <n v="1050.3800000000001"/>
    <n v="1800"/>
    <n v="749.61999999999989"/>
  </r>
  <r>
    <x v="0"/>
    <n v="22818"/>
    <x v="11"/>
    <n v="102"/>
    <s v="McKesson Auto Group"/>
    <n v="1"/>
    <x v="0"/>
    <s v="C5102"/>
    <x v="13"/>
    <n v="40"/>
    <n v="35"/>
    <n v="35"/>
    <x v="0"/>
    <n v="6.37"/>
    <x v="0"/>
    <x v="1"/>
    <x v="0"/>
    <n v="254.8"/>
    <n v="1400"/>
    <n v="1145.2"/>
  </r>
  <r>
    <x v="0"/>
    <n v="22818"/>
    <x v="11"/>
    <n v="102"/>
    <s v="McKesson Auto Group"/>
    <n v="2"/>
    <x v="0"/>
    <s v="C5110"/>
    <x v="1"/>
    <n v="5"/>
    <n v="70"/>
    <n v="70"/>
    <x v="0"/>
    <n v="13.92"/>
    <x v="0"/>
    <x v="1"/>
    <x v="0"/>
    <n v="69.599999999999994"/>
    <n v="350"/>
    <n v="280.39999999999998"/>
  </r>
  <r>
    <x v="0"/>
    <n v="22819"/>
    <x v="11"/>
    <n v="106"/>
    <s v="JS Automotive"/>
    <n v="1"/>
    <x v="0"/>
    <s v="C5101"/>
    <x v="0"/>
    <n v="80"/>
    <n v="18"/>
    <n v="18"/>
    <x v="0"/>
    <n v="4.58"/>
    <x v="0"/>
    <x v="0"/>
    <x v="0"/>
    <n v="366.4"/>
    <n v="1440"/>
    <n v="1073.5999999999999"/>
  </r>
  <r>
    <x v="0"/>
    <n v="22819"/>
    <x v="11"/>
    <n v="106"/>
    <s v="JS Automotive"/>
    <n v="2"/>
    <x v="0"/>
    <s v="C5110"/>
    <x v="1"/>
    <n v="20"/>
    <n v="70"/>
    <n v="70"/>
    <x v="0"/>
    <n v="13.92"/>
    <x v="0"/>
    <x v="0"/>
    <x v="0"/>
    <n v="278.39999999999998"/>
    <n v="1400"/>
    <n v="1121.5999999999999"/>
  </r>
  <r>
    <x v="0"/>
    <n v="22820"/>
    <x v="11"/>
    <n v="107"/>
    <s v="Erwin Mortgage"/>
    <n v="1"/>
    <x v="0"/>
    <s v="C5103"/>
    <x v="2"/>
    <n v="10"/>
    <n v="30"/>
    <n v="30"/>
    <x v="0"/>
    <n v="6.9"/>
    <x v="1"/>
    <x v="1"/>
    <x v="0"/>
    <n v="69"/>
    <n v="300"/>
    <n v="231"/>
  </r>
  <r>
    <x v="0"/>
    <n v="22820"/>
    <x v="11"/>
    <n v="107"/>
    <s v="Erwin Mortgage"/>
    <n v="2"/>
    <x v="0"/>
    <s v="C5110"/>
    <x v="1"/>
    <n v="2"/>
    <n v="70"/>
    <n v="70"/>
    <x v="0"/>
    <n v="13.92"/>
    <x v="1"/>
    <x v="1"/>
    <x v="0"/>
    <n v="27.84"/>
    <n v="140"/>
    <n v="112.16"/>
  </r>
  <r>
    <x v="0"/>
    <n v="22821"/>
    <x v="11"/>
    <n v="112"/>
    <s v="Macon Financial Title Company"/>
    <n v="1"/>
    <x v="0"/>
    <s v="C5110"/>
    <x v="1"/>
    <n v="5"/>
    <n v="70"/>
    <n v="70"/>
    <x v="0"/>
    <n v="13.92"/>
    <x v="1"/>
    <x v="1"/>
    <x v="0"/>
    <n v="69.599999999999994"/>
    <n v="350"/>
    <n v="280.39999999999998"/>
  </r>
  <r>
    <x v="0"/>
    <n v="22821"/>
    <x v="11"/>
    <n v="112"/>
    <s v="Macon Financial Title Company"/>
    <n v="2"/>
    <x v="0"/>
    <s v="C5103"/>
    <x v="2"/>
    <n v="5"/>
    <n v="30"/>
    <n v="30"/>
    <x v="0"/>
    <n v="6.9"/>
    <x v="1"/>
    <x v="1"/>
    <x v="0"/>
    <n v="34.5"/>
    <n v="150"/>
    <n v="115.5"/>
  </r>
  <r>
    <x v="0"/>
    <n v="22822"/>
    <x v="11"/>
    <n v="117"/>
    <s v="Sullivan Motors"/>
    <n v="1"/>
    <x v="0"/>
    <s v="C5110"/>
    <x v="1"/>
    <n v="12"/>
    <n v="70"/>
    <n v="70"/>
    <x v="0"/>
    <n v="13.92"/>
    <x v="0"/>
    <x v="1"/>
    <x v="0"/>
    <n v="167.04"/>
    <n v="840"/>
    <n v="672.96"/>
  </r>
  <r>
    <x v="0"/>
    <n v="22822"/>
    <x v="11"/>
    <n v="117"/>
    <s v="Sullivan Motors"/>
    <n v="2"/>
    <x v="0"/>
    <s v="C5103"/>
    <x v="2"/>
    <n v="12"/>
    <n v="30"/>
    <n v="30"/>
    <x v="0"/>
    <n v="6.9"/>
    <x v="0"/>
    <x v="1"/>
    <x v="0"/>
    <n v="82.800000000000011"/>
    <n v="360"/>
    <n v="277.2"/>
  </r>
  <r>
    <x v="0"/>
    <n v="22823"/>
    <x v="12"/>
    <n v="113"/>
    <s v="Jefferson Mortgage"/>
    <n v="1"/>
    <x v="0"/>
    <s v="P1105"/>
    <x v="8"/>
    <n v="50"/>
    <n v="1500"/>
    <n v="1500"/>
    <x v="1"/>
    <n v="899.1"/>
    <x v="1"/>
    <x v="1"/>
    <x v="1"/>
    <n v="44955"/>
    <n v="75000"/>
    <n v="30045"/>
  </r>
  <r>
    <x v="0"/>
    <n v="22823"/>
    <x v="12"/>
    <n v="113"/>
    <s v="Jefferson Mortgage"/>
    <n v="2"/>
    <x v="0"/>
    <s v="A2102"/>
    <x v="9"/>
    <n v="50"/>
    <n v="0"/>
    <n v="0"/>
    <x v="2"/>
    <n v="13.79"/>
    <x v="1"/>
    <x v="1"/>
    <x v="2"/>
    <n v="689.5"/>
    <n v="0"/>
    <n v="-689.5"/>
  </r>
  <r>
    <x v="0"/>
    <n v="22823"/>
    <x v="12"/>
    <n v="113"/>
    <s v="Jefferson Mortgage"/>
    <n v="3"/>
    <x v="0"/>
    <s v="A2114"/>
    <x v="10"/>
    <n v="50"/>
    <n v="0"/>
    <n v="0"/>
    <x v="2"/>
    <n v="11.59"/>
    <x v="1"/>
    <x v="1"/>
    <x v="2"/>
    <n v="579.5"/>
    <n v="0"/>
    <n v="-579.5"/>
  </r>
  <r>
    <x v="0"/>
    <n v="22823"/>
    <x v="12"/>
    <n v="113"/>
    <s v="Jefferson Mortgage"/>
    <n v="4"/>
    <x v="0"/>
    <s v="A2116"/>
    <x v="6"/>
    <n v="50"/>
    <n v="0"/>
    <n v="0"/>
    <x v="2"/>
    <n v="12.33"/>
    <x v="1"/>
    <x v="1"/>
    <x v="2"/>
    <n v="616.5"/>
    <n v="0"/>
    <n v="-616.5"/>
  </r>
  <r>
    <x v="0"/>
    <n v="22823"/>
    <x v="12"/>
    <n v="113"/>
    <s v="Jefferson Mortgage"/>
    <n v="5"/>
    <x v="0"/>
    <s v="A2118"/>
    <x v="7"/>
    <n v="5"/>
    <n v="0"/>
    <n v="0"/>
    <x v="2"/>
    <n v="89.7"/>
    <x v="1"/>
    <x v="1"/>
    <x v="2"/>
    <n v="448.5"/>
    <n v="0"/>
    <n v="-448.5"/>
  </r>
  <r>
    <x v="0"/>
    <n v="22824"/>
    <x v="13"/>
    <n v="109"/>
    <s v="North Georgia Consolidated Financial"/>
    <n v="1"/>
    <x v="0"/>
    <s v="P1101"/>
    <x v="3"/>
    <n v="1"/>
    <n v="500"/>
    <n v="500"/>
    <x v="1"/>
    <n v="295.10000000000002"/>
    <x v="1"/>
    <x v="1"/>
    <x v="1"/>
    <n v="295.10000000000002"/>
    <n v="500"/>
    <n v="204.89999999999998"/>
  </r>
  <r>
    <x v="0"/>
    <n v="22824"/>
    <x v="13"/>
    <n v="109"/>
    <s v="North Georgia Consolidated Financial"/>
    <n v="2"/>
    <x v="0"/>
    <s v="A2101"/>
    <x v="4"/>
    <n v="1"/>
    <n v="25"/>
    <n v="25"/>
    <x v="0"/>
    <n v="12.17"/>
    <x v="1"/>
    <x v="1"/>
    <x v="2"/>
    <n v="12.17"/>
    <n v="25"/>
    <n v="12.83"/>
  </r>
  <r>
    <x v="0"/>
    <n v="22824"/>
    <x v="13"/>
    <n v="109"/>
    <s v="North Georgia Consolidated Financial"/>
    <n v="3"/>
    <x v="0"/>
    <s v="A2113"/>
    <x v="5"/>
    <n v="1"/>
    <n v="20"/>
    <n v="20"/>
    <x v="0"/>
    <n v="8.15"/>
    <x v="1"/>
    <x v="1"/>
    <x v="2"/>
    <n v="8.15"/>
    <n v="20"/>
    <n v="11.85"/>
  </r>
  <r>
    <x v="0"/>
    <n v="22824"/>
    <x v="13"/>
    <n v="109"/>
    <s v="North Georgia Consolidated Financial"/>
    <n v="4"/>
    <x v="0"/>
    <s v="A2116"/>
    <x v="6"/>
    <n v="1"/>
    <n v="40"/>
    <n v="40"/>
    <x v="0"/>
    <n v="12.33"/>
    <x v="1"/>
    <x v="1"/>
    <x v="2"/>
    <n v="12.33"/>
    <n v="40"/>
    <n v="27.67"/>
  </r>
  <r>
    <x v="0"/>
    <n v="22824"/>
    <x v="13"/>
    <n v="109"/>
    <s v="North Georgia Consolidated Financial"/>
    <n v="5"/>
    <x v="0"/>
    <s v="C5101"/>
    <x v="0"/>
    <n v="1"/>
    <n v="20"/>
    <n v="20"/>
    <x v="0"/>
    <n v="4.58"/>
    <x v="1"/>
    <x v="1"/>
    <x v="0"/>
    <n v="4.58"/>
    <n v="20"/>
    <n v="15.42"/>
  </r>
  <r>
    <x v="0"/>
    <n v="22825"/>
    <x v="14"/>
    <n v="115"/>
    <s v="Briggs Motoring Company"/>
    <n v="1"/>
    <x v="0"/>
    <s v="P1107"/>
    <x v="11"/>
    <n v="2"/>
    <n v="1800"/>
    <n v="1800"/>
    <x v="1"/>
    <n v="1050.3800000000001"/>
    <x v="0"/>
    <x v="0"/>
    <x v="1"/>
    <n v="2100.7600000000002"/>
    <n v="3600"/>
    <n v="1499.2399999999998"/>
  </r>
  <r>
    <x v="0"/>
    <n v="22825"/>
    <x v="14"/>
    <n v="115"/>
    <s v="Briggs Motoring Company"/>
    <n v="2"/>
    <x v="0"/>
    <s v="A2102"/>
    <x v="9"/>
    <n v="2"/>
    <n v="35"/>
    <n v="35"/>
    <x v="0"/>
    <n v="13.79"/>
    <x v="0"/>
    <x v="0"/>
    <x v="2"/>
    <n v="27.58"/>
    <n v="70"/>
    <n v="42.42"/>
  </r>
  <r>
    <x v="0"/>
    <n v="22825"/>
    <x v="14"/>
    <n v="115"/>
    <s v="Briggs Motoring Company"/>
    <n v="3"/>
    <x v="0"/>
    <s v="A2114"/>
    <x v="10"/>
    <n v="2"/>
    <n v="30"/>
    <n v="30"/>
    <x v="0"/>
    <n v="11.59"/>
    <x v="0"/>
    <x v="0"/>
    <x v="2"/>
    <n v="23.18"/>
    <n v="60"/>
    <n v="36.82"/>
  </r>
  <r>
    <x v="0"/>
    <n v="22825"/>
    <x v="14"/>
    <n v="115"/>
    <s v="Briggs Motoring Company"/>
    <n v="4"/>
    <x v="0"/>
    <s v="A2117"/>
    <x v="12"/>
    <n v="2"/>
    <n v="60"/>
    <n v="60"/>
    <x v="0"/>
    <n v="17.22"/>
    <x v="0"/>
    <x v="0"/>
    <x v="2"/>
    <n v="34.44"/>
    <n v="120"/>
    <n v="85.56"/>
  </r>
  <r>
    <x v="0"/>
    <n v="22825"/>
    <x v="14"/>
    <n v="115"/>
    <s v="Briggs Motoring Company"/>
    <n v="5"/>
    <x v="0"/>
    <s v="C5102"/>
    <x v="13"/>
    <n v="20"/>
    <n v="35"/>
    <n v="35"/>
    <x v="0"/>
    <n v="6.37"/>
    <x v="0"/>
    <x v="0"/>
    <x v="0"/>
    <n v="127.4"/>
    <n v="700"/>
    <n v="572.6"/>
  </r>
  <r>
    <x v="0"/>
    <n v="22826"/>
    <x v="15"/>
    <n v="101"/>
    <s v="Johnson Auto Group"/>
    <n v="1"/>
    <x v="0"/>
    <s v="C5103"/>
    <x v="2"/>
    <n v="120"/>
    <n v="24"/>
    <n v="24"/>
    <x v="0"/>
    <n v="6.9"/>
    <x v="0"/>
    <x v="1"/>
    <x v="0"/>
    <n v="828"/>
    <n v="2880"/>
    <n v="2052"/>
  </r>
  <r>
    <x v="0"/>
    <n v="22826"/>
    <x v="15"/>
    <n v="101"/>
    <s v="Johnson Auto Group"/>
    <n v="2"/>
    <x v="0"/>
    <s v="C5110"/>
    <x v="1"/>
    <n v="12"/>
    <n v="70"/>
    <n v="70"/>
    <x v="0"/>
    <n v="13.92"/>
    <x v="0"/>
    <x v="1"/>
    <x v="0"/>
    <n v="167.04"/>
    <n v="840"/>
    <n v="672.96"/>
  </r>
  <r>
    <x v="0"/>
    <n v="22827"/>
    <x v="15"/>
    <n v="102"/>
    <s v="McKesson Auto Group"/>
    <n v="1"/>
    <x v="0"/>
    <s v="C5102"/>
    <x v="13"/>
    <n v="40"/>
    <n v="35"/>
    <n v="35"/>
    <x v="0"/>
    <n v="6.37"/>
    <x v="0"/>
    <x v="1"/>
    <x v="0"/>
    <n v="254.8"/>
    <n v="1400"/>
    <n v="1145.2"/>
  </r>
  <r>
    <x v="0"/>
    <n v="22827"/>
    <x v="15"/>
    <n v="102"/>
    <s v="McKesson Auto Group"/>
    <n v="2"/>
    <x v="0"/>
    <s v="C5110"/>
    <x v="1"/>
    <n v="5"/>
    <n v="70"/>
    <n v="70"/>
    <x v="0"/>
    <n v="13.92"/>
    <x v="0"/>
    <x v="1"/>
    <x v="0"/>
    <n v="69.599999999999994"/>
    <n v="350"/>
    <n v="280.39999999999998"/>
  </r>
  <r>
    <x v="0"/>
    <n v="22827"/>
    <x v="15"/>
    <n v="102"/>
    <s v="McKesson Auto Group"/>
    <n v="3"/>
    <x v="0"/>
    <s v="A2118"/>
    <x v="7"/>
    <n v="1"/>
    <n v="250"/>
    <n v="250"/>
    <x v="1"/>
    <n v="89.7"/>
    <x v="0"/>
    <x v="1"/>
    <x v="2"/>
    <n v="89.7"/>
    <n v="250"/>
    <n v="160.30000000000001"/>
  </r>
  <r>
    <x v="0"/>
    <n v="22828"/>
    <x v="15"/>
    <n v="106"/>
    <s v="JS Automotive"/>
    <n v="1"/>
    <x v="0"/>
    <s v="C5101"/>
    <x v="0"/>
    <n v="80"/>
    <n v="18"/>
    <n v="18"/>
    <x v="0"/>
    <n v="4.58"/>
    <x v="0"/>
    <x v="0"/>
    <x v="0"/>
    <n v="366.4"/>
    <n v="1440"/>
    <n v="1073.5999999999999"/>
  </r>
  <r>
    <x v="0"/>
    <n v="22828"/>
    <x v="15"/>
    <n v="106"/>
    <s v="JS Automotive"/>
    <n v="2"/>
    <x v="0"/>
    <s v="C5110"/>
    <x v="1"/>
    <n v="20"/>
    <n v="70"/>
    <n v="70"/>
    <x v="0"/>
    <n v="13.92"/>
    <x v="0"/>
    <x v="0"/>
    <x v="0"/>
    <n v="278.39999999999998"/>
    <n v="1400"/>
    <n v="1121.5999999999999"/>
  </r>
  <r>
    <x v="0"/>
    <n v="22829"/>
    <x v="15"/>
    <n v="107"/>
    <s v="Erwin Mortgage"/>
    <n v="1"/>
    <x v="0"/>
    <s v="C5103"/>
    <x v="2"/>
    <n v="10"/>
    <n v="30"/>
    <n v="30"/>
    <x v="0"/>
    <n v="6.9"/>
    <x v="1"/>
    <x v="1"/>
    <x v="0"/>
    <n v="69"/>
    <n v="300"/>
    <n v="231"/>
  </r>
  <r>
    <x v="0"/>
    <n v="22829"/>
    <x v="15"/>
    <n v="107"/>
    <s v="Erwin Mortgage"/>
    <n v="2"/>
    <x v="0"/>
    <s v="C5110"/>
    <x v="1"/>
    <n v="2"/>
    <n v="70"/>
    <n v="70"/>
    <x v="0"/>
    <n v="13.92"/>
    <x v="1"/>
    <x v="1"/>
    <x v="0"/>
    <n v="27.84"/>
    <n v="140"/>
    <n v="112.16"/>
  </r>
  <r>
    <x v="0"/>
    <n v="22830"/>
    <x v="15"/>
    <n v="112"/>
    <s v="Macon Financial Title Company"/>
    <n v="1"/>
    <x v="0"/>
    <s v="C5110"/>
    <x v="1"/>
    <n v="5"/>
    <n v="70"/>
    <n v="70"/>
    <x v="0"/>
    <n v="13.92"/>
    <x v="1"/>
    <x v="1"/>
    <x v="0"/>
    <n v="69.599999999999994"/>
    <n v="350"/>
    <n v="280.39999999999998"/>
  </r>
  <r>
    <x v="0"/>
    <n v="22830"/>
    <x v="15"/>
    <n v="112"/>
    <s v="Macon Financial Title Company"/>
    <n v="2"/>
    <x v="0"/>
    <s v="C5103"/>
    <x v="2"/>
    <n v="5"/>
    <n v="30"/>
    <n v="30"/>
    <x v="0"/>
    <n v="6.9"/>
    <x v="1"/>
    <x v="1"/>
    <x v="0"/>
    <n v="34.5"/>
    <n v="150"/>
    <n v="115.5"/>
  </r>
  <r>
    <x v="0"/>
    <n v="22830"/>
    <x v="15"/>
    <n v="112"/>
    <s v="Macon Financial Title Company"/>
    <n v="3"/>
    <x v="0"/>
    <s v="P1105"/>
    <x v="8"/>
    <n v="2"/>
    <n v="1500"/>
    <n v="1500"/>
    <x v="1"/>
    <n v="899.1"/>
    <x v="1"/>
    <x v="1"/>
    <x v="1"/>
    <n v="1798.2"/>
    <n v="3000"/>
    <n v="1201.8"/>
  </r>
  <r>
    <x v="0"/>
    <n v="22830"/>
    <x v="15"/>
    <n v="112"/>
    <s v="Macon Financial Title Company"/>
    <n v="4"/>
    <x v="0"/>
    <s v="A2102"/>
    <x v="9"/>
    <n v="2"/>
    <n v="35"/>
    <n v="35"/>
    <x v="0"/>
    <n v="13.79"/>
    <x v="1"/>
    <x v="1"/>
    <x v="2"/>
    <n v="27.58"/>
    <n v="70"/>
    <n v="42.42"/>
  </r>
  <r>
    <x v="0"/>
    <n v="22830"/>
    <x v="15"/>
    <n v="112"/>
    <s v="Macon Financial Title Company"/>
    <n v="5"/>
    <x v="0"/>
    <s v="A2114"/>
    <x v="10"/>
    <n v="2"/>
    <n v="30"/>
    <n v="30"/>
    <x v="0"/>
    <n v="11.59"/>
    <x v="1"/>
    <x v="1"/>
    <x v="2"/>
    <n v="23.18"/>
    <n v="60"/>
    <n v="36.82"/>
  </r>
  <r>
    <x v="0"/>
    <n v="22830"/>
    <x v="15"/>
    <n v="112"/>
    <s v="Macon Financial Title Company"/>
    <n v="6"/>
    <x v="0"/>
    <s v="A2117"/>
    <x v="12"/>
    <n v="2"/>
    <n v="60"/>
    <n v="60"/>
    <x v="0"/>
    <n v="17.22"/>
    <x v="1"/>
    <x v="1"/>
    <x v="2"/>
    <n v="34.44"/>
    <n v="120"/>
    <n v="85.56"/>
  </r>
  <r>
    <x v="0"/>
    <n v="22831"/>
    <x v="15"/>
    <n v="113"/>
    <s v="Jefferson Mortgage"/>
    <n v="1"/>
    <x v="0"/>
    <s v="C5103"/>
    <x v="2"/>
    <n v="250"/>
    <n v="24"/>
    <n v="24"/>
    <x v="0"/>
    <n v="6.9"/>
    <x v="1"/>
    <x v="1"/>
    <x v="0"/>
    <n v="1725"/>
    <n v="6000"/>
    <n v="4275"/>
  </r>
  <r>
    <x v="0"/>
    <n v="22831"/>
    <x v="15"/>
    <n v="113"/>
    <s v="Jefferson Mortgage"/>
    <n v="2"/>
    <x v="0"/>
    <s v="C5110"/>
    <x v="1"/>
    <n v="50"/>
    <n v="70"/>
    <n v="70"/>
    <x v="0"/>
    <n v="13.92"/>
    <x v="1"/>
    <x v="1"/>
    <x v="0"/>
    <n v="696"/>
    <n v="3500"/>
    <n v="2804"/>
  </r>
  <r>
    <x v="0"/>
    <n v="22832"/>
    <x v="15"/>
    <n v="117"/>
    <s v="Sullivan Motors"/>
    <n v="1"/>
    <x v="0"/>
    <s v="C5110"/>
    <x v="1"/>
    <n v="3"/>
    <n v="70"/>
    <n v="70"/>
    <x v="0"/>
    <n v="13.92"/>
    <x v="0"/>
    <x v="1"/>
    <x v="0"/>
    <n v="41.76"/>
    <n v="210"/>
    <n v="168.24"/>
  </r>
  <r>
    <x v="0"/>
    <n v="22832"/>
    <x v="15"/>
    <n v="117"/>
    <s v="Sullivan Motors"/>
    <n v="2"/>
    <x v="0"/>
    <s v="C5103"/>
    <x v="2"/>
    <n v="3"/>
    <n v="30"/>
    <n v="30"/>
    <x v="0"/>
    <n v="6.9"/>
    <x v="0"/>
    <x v="1"/>
    <x v="0"/>
    <n v="20.700000000000003"/>
    <n v="90"/>
    <n v="69.3"/>
  </r>
  <r>
    <x v="0"/>
    <n v="22832"/>
    <x v="15"/>
    <n v="117"/>
    <s v="Sullivan Motors"/>
    <n v="3"/>
    <x v="0"/>
    <s v="P1105"/>
    <x v="8"/>
    <n v="3"/>
    <n v="1500"/>
    <n v="1500"/>
    <x v="1"/>
    <n v="899.1"/>
    <x v="0"/>
    <x v="1"/>
    <x v="1"/>
    <n v="2697.3"/>
    <n v="4500"/>
    <n v="1802.6999999999998"/>
  </r>
  <r>
    <x v="0"/>
    <n v="22832"/>
    <x v="15"/>
    <n v="117"/>
    <s v="Sullivan Motors"/>
    <n v="4"/>
    <x v="0"/>
    <s v="A2102"/>
    <x v="9"/>
    <n v="3"/>
    <n v="35"/>
    <n v="35"/>
    <x v="0"/>
    <n v="13.79"/>
    <x v="0"/>
    <x v="1"/>
    <x v="2"/>
    <n v="41.37"/>
    <n v="105"/>
    <n v="63.63"/>
  </r>
  <r>
    <x v="0"/>
    <n v="22832"/>
    <x v="15"/>
    <n v="117"/>
    <s v="Sullivan Motors"/>
    <n v="5"/>
    <x v="0"/>
    <s v="A2114"/>
    <x v="10"/>
    <n v="3"/>
    <n v="30"/>
    <n v="30"/>
    <x v="0"/>
    <n v="11.59"/>
    <x v="0"/>
    <x v="1"/>
    <x v="2"/>
    <n v="34.769999999999996"/>
    <n v="90"/>
    <n v="55.230000000000004"/>
  </r>
  <r>
    <x v="0"/>
    <n v="22832"/>
    <x v="15"/>
    <n v="117"/>
    <s v="Sullivan Motors"/>
    <n v="6"/>
    <x v="0"/>
    <s v="A2117"/>
    <x v="12"/>
    <n v="3"/>
    <n v="60"/>
    <n v="60"/>
    <x v="0"/>
    <n v="17.22"/>
    <x v="0"/>
    <x v="1"/>
    <x v="2"/>
    <n v="51.66"/>
    <n v="180"/>
    <n v="128.34"/>
  </r>
  <r>
    <x v="0"/>
    <n v="22833"/>
    <x v="16"/>
    <n v="116"/>
    <s v="McAndrews Automotive"/>
    <n v="1"/>
    <x v="0"/>
    <s v="P1101"/>
    <x v="3"/>
    <n v="3"/>
    <n v="500"/>
    <n v="500"/>
    <x v="1"/>
    <n v="295.10000000000002"/>
    <x v="0"/>
    <x v="0"/>
    <x v="1"/>
    <n v="885.30000000000007"/>
    <n v="1500"/>
    <n v="614.69999999999993"/>
  </r>
  <r>
    <x v="0"/>
    <n v="22833"/>
    <x v="16"/>
    <n v="116"/>
    <s v="McAndrews Automotive"/>
    <n v="2"/>
    <x v="0"/>
    <s v="A2101"/>
    <x v="4"/>
    <n v="3"/>
    <n v="25"/>
    <n v="25"/>
    <x v="0"/>
    <n v="12.17"/>
    <x v="0"/>
    <x v="0"/>
    <x v="2"/>
    <n v="36.51"/>
    <n v="75"/>
    <n v="38.49"/>
  </r>
  <r>
    <x v="0"/>
    <n v="22833"/>
    <x v="16"/>
    <n v="116"/>
    <s v="McAndrews Automotive"/>
    <n v="3"/>
    <x v="0"/>
    <s v="A2113"/>
    <x v="5"/>
    <n v="3"/>
    <n v="20"/>
    <n v="20"/>
    <x v="0"/>
    <n v="8.15"/>
    <x v="0"/>
    <x v="0"/>
    <x v="2"/>
    <n v="24.450000000000003"/>
    <n v="60"/>
    <n v="35.549999999999997"/>
  </r>
  <r>
    <x v="0"/>
    <n v="22833"/>
    <x v="16"/>
    <n v="116"/>
    <s v="McAndrews Automotive"/>
    <n v="4"/>
    <x v="0"/>
    <s v="A2116"/>
    <x v="6"/>
    <n v="3"/>
    <n v="40"/>
    <n v="40"/>
    <x v="0"/>
    <n v="12.33"/>
    <x v="0"/>
    <x v="0"/>
    <x v="2"/>
    <n v="36.99"/>
    <n v="120"/>
    <n v="83.009999999999991"/>
  </r>
  <r>
    <x v="0"/>
    <n v="22833"/>
    <x v="16"/>
    <n v="116"/>
    <s v="McAndrews Automotive"/>
    <n v="5"/>
    <x v="0"/>
    <s v="A2118"/>
    <x v="7"/>
    <n v="1"/>
    <n v="250"/>
    <n v="250"/>
    <x v="1"/>
    <n v="89.7"/>
    <x v="0"/>
    <x v="0"/>
    <x v="2"/>
    <n v="89.7"/>
    <n v="250"/>
    <n v="160.30000000000001"/>
  </r>
  <r>
    <x v="0"/>
    <n v="22833"/>
    <x v="16"/>
    <n v="116"/>
    <s v="McAndrews Automotive"/>
    <n v="6"/>
    <x v="0"/>
    <s v="C5101"/>
    <x v="0"/>
    <n v="9"/>
    <n v="20"/>
    <n v="20"/>
    <x v="0"/>
    <n v="4.58"/>
    <x v="0"/>
    <x v="0"/>
    <x v="0"/>
    <n v="41.22"/>
    <n v="180"/>
    <n v="138.78"/>
  </r>
  <r>
    <x v="0"/>
    <n v="22834"/>
    <x v="17"/>
    <n v="103"/>
    <s v="Hardman Financial Management"/>
    <n v="1"/>
    <x v="0"/>
    <s v="P1105"/>
    <x v="8"/>
    <n v="1"/>
    <n v="1500"/>
    <n v="1500"/>
    <x v="1"/>
    <n v="899.1"/>
    <x v="1"/>
    <x v="3"/>
    <x v="1"/>
    <n v="899.1"/>
    <n v="1500"/>
    <n v="600.9"/>
  </r>
  <r>
    <x v="0"/>
    <n v="22834"/>
    <x v="17"/>
    <n v="103"/>
    <s v="Hardman Financial Management"/>
    <n v="2"/>
    <x v="0"/>
    <s v="A2101"/>
    <x v="4"/>
    <n v="1"/>
    <n v="25"/>
    <n v="25"/>
    <x v="0"/>
    <n v="12.17"/>
    <x v="1"/>
    <x v="3"/>
    <x v="2"/>
    <n v="12.17"/>
    <n v="25"/>
    <n v="12.83"/>
  </r>
  <r>
    <x v="0"/>
    <n v="22834"/>
    <x v="17"/>
    <n v="103"/>
    <s v="Hardman Financial Management"/>
    <n v="3"/>
    <x v="0"/>
    <s v="A2113"/>
    <x v="5"/>
    <n v="1"/>
    <n v="20"/>
    <n v="20"/>
    <x v="0"/>
    <n v="8.15"/>
    <x v="1"/>
    <x v="3"/>
    <x v="2"/>
    <n v="8.15"/>
    <n v="20"/>
    <n v="11.85"/>
  </r>
  <r>
    <x v="0"/>
    <n v="22834"/>
    <x v="17"/>
    <n v="103"/>
    <s v="Hardman Financial Management"/>
    <n v="4"/>
    <x v="0"/>
    <s v="A2116"/>
    <x v="6"/>
    <n v="1"/>
    <n v="40"/>
    <n v="40"/>
    <x v="0"/>
    <n v="12.33"/>
    <x v="1"/>
    <x v="3"/>
    <x v="2"/>
    <n v="12.33"/>
    <n v="40"/>
    <n v="27.67"/>
  </r>
  <r>
    <x v="0"/>
    <n v="22834"/>
    <x v="17"/>
    <n v="103"/>
    <s v="Hardman Financial Management"/>
    <n v="5"/>
    <x v="0"/>
    <s v="C5101"/>
    <x v="0"/>
    <n v="1"/>
    <n v="20"/>
    <n v="20"/>
    <x v="0"/>
    <n v="4.58"/>
    <x v="1"/>
    <x v="3"/>
    <x v="0"/>
    <n v="4.58"/>
    <n v="20"/>
    <n v="15.42"/>
  </r>
  <r>
    <x v="0"/>
    <n v="22835"/>
    <x v="17"/>
    <n v="118"/>
    <s v="First Trust Financial"/>
    <n v="1"/>
    <x v="0"/>
    <s v="P1105"/>
    <x v="8"/>
    <n v="3"/>
    <n v="1500"/>
    <n v="1500"/>
    <x v="1"/>
    <n v="899.1"/>
    <x v="1"/>
    <x v="1"/>
    <x v="1"/>
    <n v="2697.3"/>
    <n v="4500"/>
    <n v="1802.6999999999998"/>
  </r>
  <r>
    <x v="0"/>
    <n v="22835"/>
    <x v="17"/>
    <n v="118"/>
    <s v="First Trust Financial"/>
    <n v="2"/>
    <x v="0"/>
    <s v="A2101"/>
    <x v="4"/>
    <n v="3"/>
    <n v="0"/>
    <n v="0"/>
    <x v="2"/>
    <n v="12.17"/>
    <x v="1"/>
    <x v="1"/>
    <x v="2"/>
    <n v="36.51"/>
    <n v="0"/>
    <n v="-36.51"/>
  </r>
  <r>
    <x v="0"/>
    <n v="22835"/>
    <x v="17"/>
    <n v="118"/>
    <s v="First Trust Financial"/>
    <n v="3"/>
    <x v="0"/>
    <s v="A2113"/>
    <x v="5"/>
    <n v="3"/>
    <n v="0"/>
    <n v="0"/>
    <x v="2"/>
    <n v="8.15"/>
    <x v="1"/>
    <x v="1"/>
    <x v="2"/>
    <n v="24.450000000000003"/>
    <n v="0"/>
    <n v="-24.450000000000003"/>
  </r>
  <r>
    <x v="0"/>
    <n v="22835"/>
    <x v="17"/>
    <n v="118"/>
    <s v="First Trust Financial"/>
    <n v="4"/>
    <x v="0"/>
    <s v="A2116"/>
    <x v="6"/>
    <n v="3"/>
    <n v="0"/>
    <n v="0"/>
    <x v="2"/>
    <n v="12.33"/>
    <x v="1"/>
    <x v="1"/>
    <x v="2"/>
    <n v="36.99"/>
    <n v="0"/>
    <n v="-36.99"/>
  </r>
  <r>
    <x v="0"/>
    <n v="22835"/>
    <x v="17"/>
    <n v="118"/>
    <s v="First Trust Financial"/>
    <n v="5"/>
    <x v="0"/>
    <s v="C5101"/>
    <x v="0"/>
    <n v="3"/>
    <n v="0"/>
    <n v="0"/>
    <x v="2"/>
    <n v="4.58"/>
    <x v="1"/>
    <x v="1"/>
    <x v="0"/>
    <n v="13.74"/>
    <n v="0"/>
    <n v="-13.74"/>
  </r>
  <r>
    <x v="0"/>
    <n v="22835"/>
    <x v="17"/>
    <n v="118"/>
    <s v="First Trust Financial"/>
    <n v="1"/>
    <x v="0"/>
    <s v="P1105"/>
    <x v="8"/>
    <n v="3"/>
    <n v="1500"/>
    <n v="1500"/>
    <x v="1"/>
    <n v="899.1"/>
    <x v="1"/>
    <x v="1"/>
    <x v="1"/>
    <n v="2697.3"/>
    <n v="4500"/>
    <n v="1802.6999999999998"/>
  </r>
  <r>
    <x v="0"/>
    <n v="22835"/>
    <x v="17"/>
    <n v="118"/>
    <s v="First Trust Financial"/>
    <n v="2"/>
    <x v="0"/>
    <s v="A2101"/>
    <x v="4"/>
    <n v="3"/>
    <n v="25"/>
    <n v="25"/>
    <x v="0"/>
    <n v="12.17"/>
    <x v="1"/>
    <x v="1"/>
    <x v="2"/>
    <n v="36.51"/>
    <n v="75"/>
    <n v="38.49"/>
  </r>
  <r>
    <x v="0"/>
    <n v="22835"/>
    <x v="17"/>
    <n v="118"/>
    <s v="First Trust Financial"/>
    <n v="3"/>
    <x v="0"/>
    <s v="A2113"/>
    <x v="5"/>
    <n v="3"/>
    <n v="20"/>
    <n v="20"/>
    <x v="0"/>
    <n v="8.15"/>
    <x v="1"/>
    <x v="1"/>
    <x v="2"/>
    <n v="24.450000000000003"/>
    <n v="60"/>
    <n v="35.549999999999997"/>
  </r>
  <r>
    <x v="0"/>
    <n v="22835"/>
    <x v="17"/>
    <n v="118"/>
    <s v="First Trust Financial"/>
    <n v="4"/>
    <x v="0"/>
    <s v="A2116"/>
    <x v="6"/>
    <n v="3"/>
    <n v="40"/>
    <n v="40"/>
    <x v="0"/>
    <n v="12.33"/>
    <x v="1"/>
    <x v="1"/>
    <x v="2"/>
    <n v="36.99"/>
    <n v="120"/>
    <n v="83.009999999999991"/>
  </r>
  <r>
    <x v="0"/>
    <n v="22835"/>
    <x v="17"/>
    <n v="118"/>
    <s v="First Trust Financial"/>
    <n v="5"/>
    <x v="0"/>
    <s v="C5101"/>
    <x v="0"/>
    <n v="3"/>
    <n v="20"/>
    <n v="20"/>
    <x v="0"/>
    <n v="4.58"/>
    <x v="1"/>
    <x v="1"/>
    <x v="0"/>
    <n v="13.74"/>
    <n v="60"/>
    <n v="46.26"/>
  </r>
  <r>
    <x v="0"/>
    <n v="22836"/>
    <x v="18"/>
    <n v="110"/>
    <s v="Gulf Coast Motors"/>
    <n v="1"/>
    <x v="0"/>
    <s v="P1105"/>
    <x v="8"/>
    <n v="4"/>
    <n v="1500"/>
    <n v="1500"/>
    <x v="1"/>
    <n v="899.1"/>
    <x v="0"/>
    <x v="4"/>
    <x v="1"/>
    <n v="3596.4"/>
    <n v="6000"/>
    <n v="2403.6"/>
  </r>
  <r>
    <x v="0"/>
    <n v="22836"/>
    <x v="18"/>
    <n v="110"/>
    <s v="Gulf Coast Motors"/>
    <n v="2"/>
    <x v="0"/>
    <s v="A2101"/>
    <x v="4"/>
    <n v="4"/>
    <n v="25"/>
    <n v="25"/>
    <x v="0"/>
    <n v="12.17"/>
    <x v="0"/>
    <x v="4"/>
    <x v="2"/>
    <n v="48.68"/>
    <n v="100"/>
    <n v="51.32"/>
  </r>
  <r>
    <x v="0"/>
    <n v="22836"/>
    <x v="18"/>
    <n v="110"/>
    <s v="Gulf Coast Motors"/>
    <n v="3"/>
    <x v="0"/>
    <s v="A2113"/>
    <x v="5"/>
    <n v="4"/>
    <n v="20"/>
    <n v="20"/>
    <x v="0"/>
    <n v="8.15"/>
    <x v="0"/>
    <x v="4"/>
    <x v="2"/>
    <n v="32.6"/>
    <n v="80"/>
    <n v="47.4"/>
  </r>
  <r>
    <x v="0"/>
    <n v="22836"/>
    <x v="18"/>
    <n v="110"/>
    <s v="Gulf Coast Motors"/>
    <n v="4"/>
    <x v="0"/>
    <s v="A2116"/>
    <x v="6"/>
    <n v="4"/>
    <n v="40"/>
    <n v="40"/>
    <x v="0"/>
    <n v="12.33"/>
    <x v="0"/>
    <x v="4"/>
    <x v="2"/>
    <n v="49.32"/>
    <n v="160"/>
    <n v="110.68"/>
  </r>
  <r>
    <x v="0"/>
    <n v="22836"/>
    <x v="18"/>
    <n v="110"/>
    <s v="Gulf Coast Motors"/>
    <n v="5"/>
    <x v="0"/>
    <s v="C5101"/>
    <x v="0"/>
    <n v="20"/>
    <n v="20"/>
    <n v="20"/>
    <x v="0"/>
    <n v="4.58"/>
    <x v="0"/>
    <x v="4"/>
    <x v="0"/>
    <n v="91.6"/>
    <n v="400"/>
    <n v="308.39999999999998"/>
  </r>
  <r>
    <x v="0"/>
    <n v="22837"/>
    <x v="19"/>
    <n v="101"/>
    <s v="Johnson Auto Group"/>
    <n v="1"/>
    <x v="0"/>
    <s v="C5103"/>
    <x v="2"/>
    <n v="120"/>
    <n v="24"/>
    <n v="24"/>
    <x v="0"/>
    <n v="6.9"/>
    <x v="0"/>
    <x v="1"/>
    <x v="0"/>
    <n v="828"/>
    <n v="2880"/>
    <n v="2052"/>
  </r>
  <r>
    <x v="0"/>
    <n v="22837"/>
    <x v="19"/>
    <n v="101"/>
    <s v="Johnson Auto Group"/>
    <n v="2"/>
    <x v="0"/>
    <s v="C5110"/>
    <x v="1"/>
    <n v="12"/>
    <n v="70"/>
    <n v="70"/>
    <x v="0"/>
    <n v="13.92"/>
    <x v="0"/>
    <x v="1"/>
    <x v="0"/>
    <n v="167.04"/>
    <n v="840"/>
    <n v="672.96"/>
  </r>
  <r>
    <x v="0"/>
    <n v="22838"/>
    <x v="19"/>
    <n v="106"/>
    <s v="JS Automotive"/>
    <n v="1"/>
    <x v="0"/>
    <s v="C5101"/>
    <x v="0"/>
    <n v="80"/>
    <n v="18"/>
    <n v="18"/>
    <x v="0"/>
    <n v="4.58"/>
    <x v="0"/>
    <x v="0"/>
    <x v="0"/>
    <n v="366.4"/>
    <n v="1440"/>
    <n v="1073.5999999999999"/>
  </r>
  <r>
    <x v="0"/>
    <n v="22838"/>
    <x v="19"/>
    <n v="106"/>
    <s v="JS Automotive"/>
    <n v="2"/>
    <x v="0"/>
    <s v="C5110"/>
    <x v="1"/>
    <n v="20"/>
    <n v="70"/>
    <n v="70"/>
    <x v="0"/>
    <n v="13.92"/>
    <x v="0"/>
    <x v="0"/>
    <x v="0"/>
    <n v="278.39999999999998"/>
    <n v="1400"/>
    <n v="1121.5999999999999"/>
  </r>
  <r>
    <x v="0"/>
    <n v="22839"/>
    <x v="19"/>
    <n v="107"/>
    <s v="Erwin Mortgage"/>
    <n v="1"/>
    <x v="0"/>
    <s v="C5103"/>
    <x v="2"/>
    <n v="10"/>
    <n v="30"/>
    <n v="30"/>
    <x v="0"/>
    <n v="6.9"/>
    <x v="1"/>
    <x v="1"/>
    <x v="0"/>
    <n v="69"/>
    <n v="300"/>
    <n v="231"/>
  </r>
  <r>
    <x v="0"/>
    <n v="22839"/>
    <x v="19"/>
    <n v="107"/>
    <s v="Erwin Mortgage"/>
    <n v="2"/>
    <x v="0"/>
    <s v="C5110"/>
    <x v="1"/>
    <n v="2"/>
    <n v="70"/>
    <n v="70"/>
    <x v="0"/>
    <n v="13.92"/>
    <x v="1"/>
    <x v="1"/>
    <x v="0"/>
    <n v="27.84"/>
    <n v="140"/>
    <n v="112.16"/>
  </r>
  <r>
    <x v="0"/>
    <n v="22840"/>
    <x v="19"/>
    <n v="112"/>
    <s v="Macon Financial Title Company"/>
    <n v="1"/>
    <x v="0"/>
    <s v="C5110"/>
    <x v="1"/>
    <n v="5"/>
    <n v="70"/>
    <n v="70"/>
    <x v="0"/>
    <n v="13.92"/>
    <x v="1"/>
    <x v="1"/>
    <x v="0"/>
    <n v="69.599999999999994"/>
    <n v="350"/>
    <n v="280.39999999999998"/>
  </r>
  <r>
    <x v="0"/>
    <n v="22840"/>
    <x v="19"/>
    <n v="112"/>
    <s v="Macon Financial Title Company"/>
    <n v="2"/>
    <x v="0"/>
    <s v="C5103"/>
    <x v="2"/>
    <n v="5"/>
    <n v="30"/>
    <n v="30"/>
    <x v="0"/>
    <n v="6.9"/>
    <x v="1"/>
    <x v="1"/>
    <x v="0"/>
    <n v="34.5"/>
    <n v="150"/>
    <n v="115.5"/>
  </r>
  <r>
    <x v="0"/>
    <n v="22841"/>
    <x v="19"/>
    <n v="113"/>
    <s v="Jefferson Mortgage"/>
    <n v="1"/>
    <x v="0"/>
    <s v="C5103"/>
    <x v="2"/>
    <n v="250"/>
    <n v="24"/>
    <n v="24"/>
    <x v="0"/>
    <n v="6.9"/>
    <x v="1"/>
    <x v="1"/>
    <x v="0"/>
    <n v="1725"/>
    <n v="6000"/>
    <n v="4275"/>
  </r>
  <r>
    <x v="0"/>
    <n v="22841"/>
    <x v="19"/>
    <n v="113"/>
    <s v="Jefferson Mortgage"/>
    <n v="2"/>
    <x v="0"/>
    <s v="C5110"/>
    <x v="1"/>
    <n v="50"/>
    <n v="70"/>
    <n v="70"/>
    <x v="0"/>
    <n v="13.92"/>
    <x v="1"/>
    <x v="1"/>
    <x v="0"/>
    <n v="696"/>
    <n v="3500"/>
    <n v="2804"/>
  </r>
  <r>
    <x v="0"/>
    <n v="22842"/>
    <x v="19"/>
    <n v="117"/>
    <s v="Sullivan Motors"/>
    <n v="1"/>
    <x v="0"/>
    <s v="C5110"/>
    <x v="1"/>
    <n v="10"/>
    <n v="70"/>
    <n v="70"/>
    <x v="0"/>
    <n v="13.92"/>
    <x v="0"/>
    <x v="1"/>
    <x v="0"/>
    <n v="139.19999999999999"/>
    <n v="700"/>
    <n v="560.79999999999995"/>
  </r>
  <r>
    <x v="0"/>
    <n v="22842"/>
    <x v="19"/>
    <n v="117"/>
    <s v="Sullivan Motors"/>
    <n v="2"/>
    <x v="0"/>
    <s v="C5103"/>
    <x v="2"/>
    <n v="10"/>
    <n v="30"/>
    <n v="30"/>
    <x v="0"/>
    <n v="6.9"/>
    <x v="0"/>
    <x v="1"/>
    <x v="0"/>
    <n v="69"/>
    <n v="300"/>
    <n v="231"/>
  </r>
  <r>
    <x v="0"/>
    <n v="22843"/>
    <x v="20"/>
    <n v="116"/>
    <s v="McAndrews Automotive"/>
    <n v="1"/>
    <x v="0"/>
    <s v="P1105"/>
    <x v="8"/>
    <n v="18"/>
    <n v="1500"/>
    <n v="1500"/>
    <x v="1"/>
    <n v="899.1"/>
    <x v="0"/>
    <x v="0"/>
    <x v="1"/>
    <n v="16183.800000000001"/>
    <n v="27000"/>
    <n v="10816.199999999999"/>
  </r>
  <r>
    <x v="0"/>
    <n v="22843"/>
    <x v="20"/>
    <n v="116"/>
    <s v="McAndrews Automotive"/>
    <n v="2"/>
    <x v="0"/>
    <s v="A2101"/>
    <x v="4"/>
    <n v="18"/>
    <n v="0"/>
    <n v="0"/>
    <x v="2"/>
    <n v="12.17"/>
    <x v="0"/>
    <x v="0"/>
    <x v="2"/>
    <n v="219.06"/>
    <n v="0"/>
    <n v="-219.06"/>
  </r>
  <r>
    <x v="0"/>
    <n v="22843"/>
    <x v="20"/>
    <n v="116"/>
    <s v="McAndrews Automotive"/>
    <n v="3"/>
    <x v="0"/>
    <s v="A2113"/>
    <x v="5"/>
    <n v="18"/>
    <n v="0"/>
    <n v="0"/>
    <x v="2"/>
    <n v="8.15"/>
    <x v="0"/>
    <x v="0"/>
    <x v="2"/>
    <n v="146.70000000000002"/>
    <n v="0"/>
    <n v="-146.70000000000002"/>
  </r>
  <r>
    <x v="0"/>
    <n v="22843"/>
    <x v="20"/>
    <n v="116"/>
    <s v="McAndrews Automotive"/>
    <n v="4"/>
    <x v="0"/>
    <s v="A2116"/>
    <x v="6"/>
    <n v="18"/>
    <n v="0"/>
    <n v="0"/>
    <x v="2"/>
    <n v="12.33"/>
    <x v="0"/>
    <x v="0"/>
    <x v="2"/>
    <n v="221.94"/>
    <n v="0"/>
    <n v="-221.94"/>
  </r>
  <r>
    <x v="0"/>
    <n v="22843"/>
    <x v="20"/>
    <n v="116"/>
    <s v="McAndrews Automotive"/>
    <n v="5"/>
    <x v="0"/>
    <s v="C5101"/>
    <x v="0"/>
    <n v="100"/>
    <n v="16"/>
    <n v="16"/>
    <x v="0"/>
    <n v="4.58"/>
    <x v="0"/>
    <x v="0"/>
    <x v="0"/>
    <n v="458"/>
    <n v="1600"/>
    <n v="1142"/>
  </r>
  <r>
    <x v="0"/>
    <n v="22844"/>
    <x v="21"/>
    <n v="108"/>
    <s v="O'Neil Motoring"/>
    <n v="1"/>
    <x v="0"/>
    <s v="P1307"/>
    <x v="14"/>
    <n v="21"/>
    <n v="2400"/>
    <n v="2400"/>
    <x v="1"/>
    <n v="1320.2"/>
    <x v="1"/>
    <x v="3"/>
    <x v="1"/>
    <n v="27724.2"/>
    <n v="50400"/>
    <n v="22675.8"/>
  </r>
  <r>
    <x v="0"/>
    <n v="22844"/>
    <x v="21"/>
    <n v="108"/>
    <s v="O'Neil Motoring"/>
    <n v="2"/>
    <x v="0"/>
    <s v="A2108"/>
    <x v="15"/>
    <n v="21"/>
    <n v="0"/>
    <n v="0"/>
    <x v="2"/>
    <n v="8.1"/>
    <x v="1"/>
    <x v="3"/>
    <x v="2"/>
    <n v="170.1"/>
    <n v="0"/>
    <n v="-170.1"/>
  </r>
  <r>
    <x v="0"/>
    <n v="22844"/>
    <x v="21"/>
    <n v="108"/>
    <s v="O'Neil Motoring"/>
    <n v="3"/>
    <x v="0"/>
    <s v="A2114"/>
    <x v="10"/>
    <n v="21"/>
    <n v="0"/>
    <n v="0"/>
    <x v="2"/>
    <n v="11.59"/>
    <x v="1"/>
    <x v="3"/>
    <x v="2"/>
    <n v="243.39"/>
    <n v="0"/>
    <n v="-243.39"/>
  </r>
  <r>
    <x v="0"/>
    <n v="22844"/>
    <x v="21"/>
    <n v="108"/>
    <s v="O'Neil Motoring"/>
    <n v="4"/>
    <x v="0"/>
    <s v="A2117"/>
    <x v="12"/>
    <n v="21"/>
    <n v="0"/>
    <n v="0"/>
    <x v="2"/>
    <n v="17.22"/>
    <x v="1"/>
    <x v="3"/>
    <x v="2"/>
    <n v="361.62"/>
    <n v="0"/>
    <n v="-361.62"/>
  </r>
  <r>
    <x v="0"/>
    <n v="22844"/>
    <x v="21"/>
    <n v="108"/>
    <s v="O'Neil Motoring"/>
    <n v="5"/>
    <x v="0"/>
    <s v="C5108"/>
    <x v="16"/>
    <n v="100"/>
    <n v="19.200000000000003"/>
    <n v="19.200000000000003"/>
    <x v="0"/>
    <n v="7.09"/>
    <x v="1"/>
    <x v="3"/>
    <x v="0"/>
    <n v="709"/>
    <n v="1920.0000000000002"/>
    <n v="1211.0000000000002"/>
  </r>
  <r>
    <x v="0"/>
    <n v="22845"/>
    <x v="22"/>
    <n v="105"/>
    <s v="Jackson Motors"/>
    <n v="1"/>
    <x v="0"/>
    <s v="P1105"/>
    <x v="8"/>
    <n v="50"/>
    <n v="1500"/>
    <n v="1500"/>
    <x v="1"/>
    <n v="899.1"/>
    <x v="0"/>
    <x v="5"/>
    <x v="1"/>
    <n v="44955"/>
    <n v="75000"/>
    <n v="30045"/>
  </r>
  <r>
    <x v="0"/>
    <n v="22845"/>
    <x v="22"/>
    <n v="105"/>
    <s v="Jackson Motors"/>
    <n v="2"/>
    <x v="0"/>
    <s v="A2101"/>
    <x v="4"/>
    <n v="50"/>
    <n v="0"/>
    <n v="0"/>
    <x v="2"/>
    <n v="12.17"/>
    <x v="0"/>
    <x v="5"/>
    <x v="2"/>
    <n v="608.5"/>
    <n v="0"/>
    <n v="-608.5"/>
  </r>
  <r>
    <x v="0"/>
    <n v="22845"/>
    <x v="22"/>
    <n v="105"/>
    <s v="Jackson Motors"/>
    <n v="3"/>
    <x v="0"/>
    <s v="A2113"/>
    <x v="5"/>
    <n v="50"/>
    <n v="0"/>
    <n v="0"/>
    <x v="2"/>
    <n v="8.15"/>
    <x v="0"/>
    <x v="5"/>
    <x v="2"/>
    <n v="407.5"/>
    <n v="0"/>
    <n v="-407.5"/>
  </r>
  <r>
    <x v="0"/>
    <n v="22845"/>
    <x v="22"/>
    <n v="105"/>
    <s v="Jackson Motors"/>
    <n v="4"/>
    <x v="0"/>
    <s v="A2116"/>
    <x v="6"/>
    <n v="50"/>
    <n v="0"/>
    <n v="0"/>
    <x v="2"/>
    <n v="12.33"/>
    <x v="0"/>
    <x v="5"/>
    <x v="2"/>
    <n v="616.5"/>
    <n v="0"/>
    <n v="-616.5"/>
  </r>
  <r>
    <x v="0"/>
    <n v="22845"/>
    <x v="22"/>
    <n v="105"/>
    <s v="Jackson Motors"/>
    <n v="5"/>
    <x v="0"/>
    <s v="A2118"/>
    <x v="7"/>
    <n v="50"/>
    <n v="0"/>
    <n v="0"/>
    <x v="2"/>
    <n v="89.7"/>
    <x v="0"/>
    <x v="5"/>
    <x v="2"/>
    <n v="4485"/>
    <n v="0"/>
    <n v="-4485"/>
  </r>
  <r>
    <x v="0"/>
    <n v="22845"/>
    <x v="22"/>
    <n v="105"/>
    <s v="Jackson Motors"/>
    <n v="6"/>
    <x v="0"/>
    <s v="C5101"/>
    <x v="0"/>
    <n v="100"/>
    <n v="16"/>
    <n v="16"/>
    <x v="0"/>
    <n v="4.58"/>
    <x v="0"/>
    <x v="5"/>
    <x v="0"/>
    <n v="458"/>
    <n v="1600"/>
    <n v="1142"/>
  </r>
  <r>
    <x v="0"/>
    <n v="22846"/>
    <x v="23"/>
    <n v="114"/>
    <s v="Godderis Automotive Group"/>
    <n v="1"/>
    <x v="0"/>
    <s v="P1311"/>
    <x v="17"/>
    <n v="5"/>
    <n v="2700"/>
    <n v="2700"/>
    <x v="1"/>
    <n v="1440.45"/>
    <x v="0"/>
    <x v="2"/>
    <x v="1"/>
    <n v="7202.25"/>
    <n v="13500"/>
    <n v="6297.75"/>
  </r>
  <r>
    <x v="0"/>
    <n v="22846"/>
    <x v="23"/>
    <n v="114"/>
    <s v="Godderis Automotive Group"/>
    <n v="2"/>
    <x v="0"/>
    <s v="A2111"/>
    <x v="18"/>
    <n v="5"/>
    <n v="0"/>
    <n v="0"/>
    <x v="2"/>
    <n v="6.3"/>
    <x v="0"/>
    <x v="2"/>
    <x v="2"/>
    <n v="31.5"/>
    <n v="0"/>
    <n v="-31.5"/>
  </r>
  <r>
    <x v="0"/>
    <n v="22846"/>
    <x v="23"/>
    <n v="114"/>
    <s v="Godderis Automotive Group"/>
    <n v="3"/>
    <x v="0"/>
    <s v="A2114"/>
    <x v="10"/>
    <n v="5"/>
    <n v="0"/>
    <n v="0"/>
    <x v="2"/>
    <n v="11.59"/>
    <x v="0"/>
    <x v="2"/>
    <x v="2"/>
    <n v="57.95"/>
    <n v="0"/>
    <n v="-57.95"/>
  </r>
  <r>
    <x v="0"/>
    <n v="22846"/>
    <x v="23"/>
    <n v="114"/>
    <s v="Godderis Automotive Group"/>
    <n v="4"/>
    <x v="0"/>
    <s v="A2117"/>
    <x v="12"/>
    <n v="5"/>
    <n v="0"/>
    <n v="0"/>
    <x v="2"/>
    <n v="17.22"/>
    <x v="0"/>
    <x v="2"/>
    <x v="2"/>
    <n v="86.1"/>
    <n v="0"/>
    <n v="-86.1"/>
  </r>
  <r>
    <x v="0"/>
    <n v="22846"/>
    <x v="23"/>
    <n v="114"/>
    <s v="Godderis Automotive Group"/>
    <n v="5"/>
    <x v="0"/>
    <s v="C5113"/>
    <x v="19"/>
    <n v="5"/>
    <n v="100"/>
    <n v="100"/>
    <x v="1"/>
    <n v="27.17"/>
    <x v="0"/>
    <x v="2"/>
    <x v="0"/>
    <n v="135.85000000000002"/>
    <n v="500"/>
    <n v="364.15"/>
  </r>
  <r>
    <x v="0"/>
    <n v="22846"/>
    <x v="23"/>
    <n v="114"/>
    <s v="Godderis Automotive Group"/>
    <n v="6"/>
    <x v="0"/>
    <s v="C5114"/>
    <x v="20"/>
    <n v="5"/>
    <n v="140"/>
    <n v="140"/>
    <x v="1"/>
    <n v="34.299999999999997"/>
    <x v="0"/>
    <x v="2"/>
    <x v="0"/>
    <n v="171.5"/>
    <n v="700"/>
    <n v="528.5"/>
  </r>
  <r>
    <x v="0"/>
    <n v="22846"/>
    <x v="23"/>
    <n v="114"/>
    <s v="Godderis Automotive Group"/>
    <n v="7"/>
    <x v="0"/>
    <s v="C5106"/>
    <x v="21"/>
    <n v="20"/>
    <n v="25"/>
    <n v="25"/>
    <x v="0"/>
    <n v="5.16"/>
    <x v="0"/>
    <x v="2"/>
    <x v="0"/>
    <n v="103.2"/>
    <n v="500"/>
    <n v="396.8"/>
  </r>
  <r>
    <x v="0"/>
    <n v="22846"/>
    <x v="23"/>
    <n v="114"/>
    <s v="Godderis Automotive Group"/>
    <n v="8"/>
    <x v="0"/>
    <s v="C5108"/>
    <x v="16"/>
    <n v="20"/>
    <n v="24"/>
    <n v="24"/>
    <x v="0"/>
    <n v="7.09"/>
    <x v="0"/>
    <x v="2"/>
    <x v="0"/>
    <n v="141.80000000000001"/>
    <n v="480"/>
    <n v="338.2"/>
  </r>
  <r>
    <x v="1"/>
    <n v="22847"/>
    <x v="24"/>
    <n v="114"/>
    <s v="Godderis Automotive Group"/>
    <n v="1"/>
    <x v="3"/>
    <s v="P1311"/>
    <x v="17"/>
    <n v="1"/>
    <n v="2700"/>
    <n v="-2700"/>
    <x v="3"/>
    <n v="1440.45"/>
    <x v="0"/>
    <x v="2"/>
    <x v="1"/>
    <n v="1440.45"/>
    <n v="-2700"/>
    <n v="-4140.45"/>
  </r>
  <r>
    <x v="1"/>
    <n v="22847"/>
    <x v="24"/>
    <n v="114"/>
    <s v="Godderis Automotive Group"/>
    <n v="2"/>
    <x v="3"/>
    <s v="A2111"/>
    <x v="18"/>
    <n v="1"/>
    <n v="30"/>
    <n v="-30"/>
    <x v="3"/>
    <n v="6.3"/>
    <x v="0"/>
    <x v="2"/>
    <x v="2"/>
    <n v="6.3"/>
    <n v="-30"/>
    <n v="-36.299999999999997"/>
  </r>
  <r>
    <x v="1"/>
    <n v="22847"/>
    <x v="24"/>
    <n v="114"/>
    <s v="Godderis Automotive Group"/>
    <n v="3"/>
    <x v="3"/>
    <s v="A2114"/>
    <x v="10"/>
    <n v="1"/>
    <n v="30"/>
    <n v="-30"/>
    <x v="3"/>
    <n v="11.59"/>
    <x v="0"/>
    <x v="2"/>
    <x v="2"/>
    <n v="11.59"/>
    <n v="-30"/>
    <n v="-41.59"/>
  </r>
  <r>
    <x v="1"/>
    <n v="22847"/>
    <x v="24"/>
    <n v="114"/>
    <s v="Godderis Automotive Group"/>
    <n v="4"/>
    <x v="3"/>
    <s v="A2117"/>
    <x v="12"/>
    <n v="1"/>
    <n v="60"/>
    <n v="-60"/>
    <x v="3"/>
    <n v="17.22"/>
    <x v="0"/>
    <x v="2"/>
    <x v="2"/>
    <n v="17.22"/>
    <n v="-60"/>
    <n v="-77.22"/>
  </r>
  <r>
    <x v="0"/>
    <n v="22848"/>
    <x v="25"/>
    <n v="101"/>
    <s v="Johnson Auto Group"/>
    <n v="1"/>
    <x v="0"/>
    <s v="C5103"/>
    <x v="2"/>
    <n v="120"/>
    <n v="24"/>
    <n v="24"/>
    <x v="0"/>
    <n v="6.9"/>
    <x v="0"/>
    <x v="1"/>
    <x v="0"/>
    <n v="828"/>
    <n v="2880"/>
    <n v="2052"/>
  </r>
  <r>
    <x v="0"/>
    <n v="22848"/>
    <x v="25"/>
    <n v="101"/>
    <s v="Johnson Auto Group"/>
    <n v="2"/>
    <x v="0"/>
    <s v="C5110"/>
    <x v="1"/>
    <n v="12"/>
    <n v="70"/>
    <n v="70"/>
    <x v="0"/>
    <n v="13.92"/>
    <x v="0"/>
    <x v="1"/>
    <x v="0"/>
    <n v="167.04"/>
    <n v="840"/>
    <n v="672.96"/>
  </r>
  <r>
    <x v="0"/>
    <n v="22849"/>
    <x v="25"/>
    <n v="102"/>
    <s v="McKesson Auto Group"/>
    <n v="1"/>
    <x v="0"/>
    <s v="C5102"/>
    <x v="13"/>
    <n v="40"/>
    <n v="35"/>
    <n v="35"/>
    <x v="0"/>
    <n v="6.37"/>
    <x v="0"/>
    <x v="1"/>
    <x v="0"/>
    <n v="254.8"/>
    <n v="1400"/>
    <n v="1145.2"/>
  </r>
  <r>
    <x v="0"/>
    <n v="22849"/>
    <x v="25"/>
    <n v="102"/>
    <s v="McKesson Auto Group"/>
    <n v="2"/>
    <x v="0"/>
    <s v="C5110"/>
    <x v="1"/>
    <n v="5"/>
    <n v="70"/>
    <n v="70"/>
    <x v="0"/>
    <n v="13.92"/>
    <x v="0"/>
    <x v="1"/>
    <x v="0"/>
    <n v="69.599999999999994"/>
    <n v="350"/>
    <n v="280.39999999999998"/>
  </r>
  <r>
    <x v="0"/>
    <n v="22850"/>
    <x v="25"/>
    <n v="103"/>
    <s v="Hardman Financial Management"/>
    <n v="1"/>
    <x v="0"/>
    <s v="P1105"/>
    <x v="8"/>
    <n v="3"/>
    <n v="1500"/>
    <n v="1500"/>
    <x v="1"/>
    <n v="899.1"/>
    <x v="1"/>
    <x v="3"/>
    <x v="1"/>
    <n v="2697.3"/>
    <n v="4500"/>
    <n v="1802.6999999999998"/>
  </r>
  <r>
    <x v="0"/>
    <n v="22850"/>
    <x v="25"/>
    <n v="103"/>
    <s v="Hardman Financial Management"/>
    <n v="2"/>
    <x v="0"/>
    <s v="A2101"/>
    <x v="4"/>
    <n v="3"/>
    <n v="25"/>
    <n v="25"/>
    <x v="0"/>
    <n v="12.17"/>
    <x v="1"/>
    <x v="3"/>
    <x v="2"/>
    <n v="36.51"/>
    <n v="75"/>
    <n v="38.49"/>
  </r>
  <r>
    <x v="0"/>
    <n v="22850"/>
    <x v="25"/>
    <n v="103"/>
    <s v="Hardman Financial Management"/>
    <n v="3"/>
    <x v="0"/>
    <s v="A2113"/>
    <x v="5"/>
    <n v="3"/>
    <n v="20"/>
    <n v="20"/>
    <x v="0"/>
    <n v="8.15"/>
    <x v="1"/>
    <x v="3"/>
    <x v="2"/>
    <n v="24.450000000000003"/>
    <n v="60"/>
    <n v="35.549999999999997"/>
  </r>
  <r>
    <x v="0"/>
    <n v="22850"/>
    <x v="25"/>
    <n v="103"/>
    <s v="Hardman Financial Management"/>
    <n v="4"/>
    <x v="0"/>
    <s v="A2116"/>
    <x v="6"/>
    <n v="3"/>
    <n v="40"/>
    <n v="40"/>
    <x v="0"/>
    <n v="12.33"/>
    <x v="1"/>
    <x v="3"/>
    <x v="2"/>
    <n v="36.99"/>
    <n v="120"/>
    <n v="83.009999999999991"/>
  </r>
  <r>
    <x v="0"/>
    <n v="22850"/>
    <x v="25"/>
    <n v="103"/>
    <s v="Hardman Financial Management"/>
    <n v="5"/>
    <x v="0"/>
    <s v="C5101"/>
    <x v="0"/>
    <n v="3"/>
    <n v="20"/>
    <n v="20"/>
    <x v="0"/>
    <n v="4.58"/>
    <x v="1"/>
    <x v="3"/>
    <x v="0"/>
    <n v="13.74"/>
    <n v="60"/>
    <n v="46.26"/>
  </r>
  <r>
    <x v="0"/>
    <n v="22850"/>
    <x v="25"/>
    <n v="103"/>
    <s v="Hardman Financial Management"/>
    <n v="6"/>
    <x v="0"/>
    <s v="A2118"/>
    <x v="7"/>
    <n v="1"/>
    <n v="250"/>
    <n v="250"/>
    <x v="1"/>
    <n v="89.7"/>
    <x v="1"/>
    <x v="3"/>
    <x v="2"/>
    <n v="89.7"/>
    <n v="250"/>
    <n v="160.30000000000001"/>
  </r>
  <r>
    <x v="0"/>
    <n v="22850"/>
    <x v="25"/>
    <n v="103"/>
    <s v="Hardman Financial Management"/>
    <n v="7"/>
    <x v="0"/>
    <s v="C5110"/>
    <x v="1"/>
    <n v="4"/>
    <n v="70"/>
    <n v="70"/>
    <x v="0"/>
    <n v="13.92"/>
    <x v="1"/>
    <x v="3"/>
    <x v="0"/>
    <n v="55.68"/>
    <n v="280"/>
    <n v="224.32"/>
  </r>
  <r>
    <x v="0"/>
    <n v="22850"/>
    <x v="25"/>
    <n v="103"/>
    <s v="Hardman Financial Management"/>
    <n v="8"/>
    <x v="0"/>
    <s v="C5103"/>
    <x v="2"/>
    <n v="4"/>
    <n v="30"/>
    <n v="30"/>
    <x v="0"/>
    <n v="6.9"/>
    <x v="1"/>
    <x v="3"/>
    <x v="0"/>
    <n v="27.6"/>
    <n v="120"/>
    <n v="92.4"/>
  </r>
  <r>
    <x v="0"/>
    <n v="22851"/>
    <x v="25"/>
    <n v="106"/>
    <s v="JS Automotive"/>
    <n v="1"/>
    <x v="0"/>
    <s v="C5101"/>
    <x v="0"/>
    <n v="80"/>
    <n v="18"/>
    <n v="18"/>
    <x v="0"/>
    <n v="4.58"/>
    <x v="0"/>
    <x v="0"/>
    <x v="0"/>
    <n v="366.4"/>
    <n v="1440"/>
    <n v="1073.5999999999999"/>
  </r>
  <r>
    <x v="0"/>
    <n v="22851"/>
    <x v="25"/>
    <n v="106"/>
    <s v="JS Automotive"/>
    <n v="2"/>
    <x v="0"/>
    <s v="C5110"/>
    <x v="1"/>
    <n v="20"/>
    <n v="70"/>
    <n v="70"/>
    <x v="0"/>
    <n v="13.92"/>
    <x v="0"/>
    <x v="0"/>
    <x v="0"/>
    <n v="278.39999999999998"/>
    <n v="1400"/>
    <n v="1121.5999999999999"/>
  </r>
  <r>
    <x v="0"/>
    <n v="22852"/>
    <x v="25"/>
    <n v="107"/>
    <s v="Erwin Mortgage"/>
    <n v="1"/>
    <x v="0"/>
    <s v="C5103"/>
    <x v="2"/>
    <n v="10"/>
    <n v="30"/>
    <n v="30"/>
    <x v="0"/>
    <n v="6.9"/>
    <x v="1"/>
    <x v="1"/>
    <x v="0"/>
    <n v="69"/>
    <n v="300"/>
    <n v="231"/>
  </r>
  <r>
    <x v="0"/>
    <n v="22852"/>
    <x v="25"/>
    <n v="107"/>
    <s v="Erwin Mortgage"/>
    <n v="2"/>
    <x v="0"/>
    <s v="C5110"/>
    <x v="1"/>
    <n v="2"/>
    <n v="70"/>
    <n v="70"/>
    <x v="0"/>
    <n v="13.92"/>
    <x v="1"/>
    <x v="1"/>
    <x v="0"/>
    <n v="27.84"/>
    <n v="140"/>
    <n v="112.16"/>
  </r>
  <r>
    <x v="0"/>
    <n v="22853"/>
    <x v="25"/>
    <n v="112"/>
    <s v="Macon Financial Title Company"/>
    <n v="1"/>
    <x v="0"/>
    <s v="C5110"/>
    <x v="1"/>
    <n v="5"/>
    <n v="70"/>
    <n v="70"/>
    <x v="0"/>
    <n v="13.92"/>
    <x v="1"/>
    <x v="1"/>
    <x v="0"/>
    <n v="69.599999999999994"/>
    <n v="350"/>
    <n v="280.39999999999998"/>
  </r>
  <r>
    <x v="0"/>
    <n v="22853"/>
    <x v="25"/>
    <n v="112"/>
    <s v="Macon Financial Title Company"/>
    <n v="2"/>
    <x v="0"/>
    <s v="C5103"/>
    <x v="2"/>
    <n v="5"/>
    <n v="30"/>
    <n v="30"/>
    <x v="0"/>
    <n v="6.9"/>
    <x v="1"/>
    <x v="1"/>
    <x v="0"/>
    <n v="34.5"/>
    <n v="150"/>
    <n v="115.5"/>
  </r>
  <r>
    <x v="0"/>
    <n v="22854"/>
    <x v="25"/>
    <n v="113"/>
    <s v="Jefferson Mortgage"/>
    <n v="1"/>
    <x v="0"/>
    <s v="C5103"/>
    <x v="2"/>
    <n v="250"/>
    <n v="24"/>
    <n v="24"/>
    <x v="0"/>
    <n v="6.9"/>
    <x v="1"/>
    <x v="1"/>
    <x v="0"/>
    <n v="1725"/>
    <n v="6000"/>
    <n v="4275"/>
  </r>
  <r>
    <x v="0"/>
    <n v="22854"/>
    <x v="25"/>
    <n v="113"/>
    <s v="Jefferson Mortgage"/>
    <n v="2"/>
    <x v="0"/>
    <s v="C5110"/>
    <x v="1"/>
    <n v="50"/>
    <n v="70"/>
    <n v="70"/>
    <x v="0"/>
    <n v="13.92"/>
    <x v="1"/>
    <x v="1"/>
    <x v="0"/>
    <n v="696"/>
    <n v="3500"/>
    <n v="2804"/>
  </r>
  <r>
    <x v="0"/>
    <n v="22855"/>
    <x v="25"/>
    <n v="115"/>
    <s v="Briggs Motoring Company"/>
    <n v="1"/>
    <x v="0"/>
    <s v="C5102"/>
    <x v="13"/>
    <n v="40"/>
    <n v="35"/>
    <n v="35"/>
    <x v="0"/>
    <n v="6.37"/>
    <x v="0"/>
    <x v="0"/>
    <x v="0"/>
    <n v="254.8"/>
    <n v="1400"/>
    <n v="1145.2"/>
  </r>
  <r>
    <x v="0"/>
    <n v="22855"/>
    <x v="25"/>
    <n v="115"/>
    <s v="Briggs Motoring Company"/>
    <n v="2"/>
    <x v="0"/>
    <s v="C5110"/>
    <x v="1"/>
    <n v="2"/>
    <n v="70"/>
    <n v="70"/>
    <x v="0"/>
    <n v="13.92"/>
    <x v="0"/>
    <x v="0"/>
    <x v="0"/>
    <n v="27.84"/>
    <n v="140"/>
    <n v="112.16"/>
  </r>
  <r>
    <x v="0"/>
    <n v="22856"/>
    <x v="25"/>
    <n v="116"/>
    <s v="McAndrews Automotive"/>
    <n v="1"/>
    <x v="0"/>
    <s v="C5103"/>
    <x v="2"/>
    <n v="50"/>
    <n v="30"/>
    <n v="30"/>
    <x v="0"/>
    <n v="6.9"/>
    <x v="0"/>
    <x v="0"/>
    <x v="0"/>
    <n v="345"/>
    <n v="1500"/>
    <n v="1155"/>
  </r>
  <r>
    <x v="0"/>
    <n v="22856"/>
    <x v="25"/>
    <n v="116"/>
    <s v="McAndrews Automotive"/>
    <n v="2"/>
    <x v="0"/>
    <s v="C5110"/>
    <x v="1"/>
    <n v="20"/>
    <n v="70"/>
    <n v="70"/>
    <x v="0"/>
    <n v="13.92"/>
    <x v="0"/>
    <x v="0"/>
    <x v="0"/>
    <n v="278.39999999999998"/>
    <n v="1400"/>
    <n v="1121.5999999999999"/>
  </r>
  <r>
    <x v="0"/>
    <n v="22857"/>
    <x v="25"/>
    <n v="117"/>
    <s v="Sullivan Motors"/>
    <n v="1"/>
    <x v="0"/>
    <s v="C5110"/>
    <x v="1"/>
    <n v="10"/>
    <n v="70"/>
    <n v="70"/>
    <x v="0"/>
    <n v="13.92"/>
    <x v="0"/>
    <x v="1"/>
    <x v="0"/>
    <n v="139.19999999999999"/>
    <n v="700"/>
    <n v="560.79999999999995"/>
  </r>
  <r>
    <x v="0"/>
    <n v="22857"/>
    <x v="25"/>
    <n v="117"/>
    <s v="Sullivan Motors"/>
    <n v="2"/>
    <x v="0"/>
    <s v="C5103"/>
    <x v="2"/>
    <n v="10"/>
    <n v="30"/>
    <n v="30"/>
    <x v="0"/>
    <n v="6.9"/>
    <x v="0"/>
    <x v="1"/>
    <x v="0"/>
    <n v="69"/>
    <n v="300"/>
    <n v="231"/>
  </r>
  <r>
    <x v="0"/>
    <n v="22858"/>
    <x v="25"/>
    <n v="118"/>
    <s v="First Trust Financial"/>
    <n v="1"/>
    <x v="0"/>
    <s v="P1105"/>
    <x v="8"/>
    <n v="8"/>
    <n v="1500"/>
    <n v="1500"/>
    <x v="1"/>
    <n v="899.1"/>
    <x v="1"/>
    <x v="1"/>
    <x v="1"/>
    <n v="7192.8"/>
    <n v="12000"/>
    <n v="4807.2"/>
  </r>
  <r>
    <x v="0"/>
    <n v="22858"/>
    <x v="25"/>
    <n v="118"/>
    <s v="First Trust Financial"/>
    <n v="2"/>
    <x v="0"/>
    <s v="A2101"/>
    <x v="4"/>
    <n v="8"/>
    <n v="0"/>
    <n v="0"/>
    <x v="2"/>
    <n v="12.17"/>
    <x v="1"/>
    <x v="1"/>
    <x v="2"/>
    <n v="97.36"/>
    <n v="0"/>
    <n v="-97.36"/>
  </r>
  <r>
    <x v="0"/>
    <n v="22858"/>
    <x v="25"/>
    <n v="118"/>
    <s v="First Trust Financial"/>
    <n v="3"/>
    <x v="0"/>
    <s v="A2113"/>
    <x v="5"/>
    <n v="8"/>
    <n v="0"/>
    <n v="0"/>
    <x v="2"/>
    <n v="8.15"/>
    <x v="1"/>
    <x v="1"/>
    <x v="2"/>
    <n v="65.2"/>
    <n v="0"/>
    <n v="-65.2"/>
  </r>
  <r>
    <x v="0"/>
    <n v="22858"/>
    <x v="25"/>
    <n v="118"/>
    <s v="First Trust Financial"/>
    <n v="4"/>
    <x v="0"/>
    <s v="A2116"/>
    <x v="6"/>
    <n v="8"/>
    <n v="0"/>
    <n v="0"/>
    <x v="2"/>
    <n v="12.33"/>
    <x v="1"/>
    <x v="1"/>
    <x v="2"/>
    <n v="98.64"/>
    <n v="0"/>
    <n v="-98.64"/>
  </r>
  <r>
    <x v="0"/>
    <n v="22858"/>
    <x v="25"/>
    <n v="118"/>
    <s v="First Trust Financial"/>
    <n v="5"/>
    <x v="0"/>
    <s v="C5101"/>
    <x v="0"/>
    <n v="8"/>
    <n v="20"/>
    <n v="20"/>
    <x v="0"/>
    <n v="4.58"/>
    <x v="1"/>
    <x v="1"/>
    <x v="0"/>
    <n v="36.64"/>
    <n v="160"/>
    <n v="123.36"/>
  </r>
  <r>
    <x v="0"/>
    <n v="22858"/>
    <x v="25"/>
    <n v="118"/>
    <s v="First Trust Financial"/>
    <n v="6"/>
    <x v="0"/>
    <s v="A2118"/>
    <x v="7"/>
    <n v="1"/>
    <n v="0"/>
    <n v="0"/>
    <x v="2"/>
    <n v="89.7"/>
    <x v="1"/>
    <x v="1"/>
    <x v="2"/>
    <n v="89.7"/>
    <n v="0"/>
    <n v="-89.7"/>
  </r>
  <r>
    <x v="0"/>
    <n v="22858"/>
    <x v="25"/>
    <n v="118"/>
    <s v="First Trust Financial"/>
    <n v="7"/>
    <x v="0"/>
    <s v="C5110"/>
    <x v="1"/>
    <n v="10"/>
    <n v="70"/>
    <n v="70"/>
    <x v="0"/>
    <n v="13.92"/>
    <x v="1"/>
    <x v="1"/>
    <x v="0"/>
    <n v="139.19999999999999"/>
    <n v="700"/>
    <n v="560.79999999999995"/>
  </r>
  <r>
    <x v="0"/>
    <n v="22858"/>
    <x v="25"/>
    <n v="118"/>
    <s v="First Trust Financial"/>
    <n v="8"/>
    <x v="0"/>
    <s v="C5103"/>
    <x v="2"/>
    <n v="20"/>
    <n v="30"/>
    <n v="30"/>
    <x v="0"/>
    <n v="6.9"/>
    <x v="1"/>
    <x v="1"/>
    <x v="0"/>
    <n v="138"/>
    <n v="600"/>
    <n v="462"/>
  </r>
  <r>
    <x v="0"/>
    <n v="22859"/>
    <x v="26"/>
    <n v="109"/>
    <s v="North Georgia Consolidated Financial"/>
    <n v="1"/>
    <x v="0"/>
    <s v="A2118"/>
    <x v="7"/>
    <n v="1"/>
    <n v="250"/>
    <n v="250"/>
    <x v="1"/>
    <n v="89.7"/>
    <x v="1"/>
    <x v="1"/>
    <x v="2"/>
    <n v="89.7"/>
    <n v="250"/>
    <n v="160.30000000000001"/>
  </r>
  <r>
    <x v="1"/>
    <n v="22860"/>
    <x v="27"/>
    <n v="118"/>
    <s v="First Trust Financial"/>
    <n v="1"/>
    <x v="1"/>
    <s v="A2101"/>
    <x v="4"/>
    <n v="8"/>
    <n v="25"/>
    <n v="-25"/>
    <x v="3"/>
    <n v="12.17"/>
    <x v="1"/>
    <x v="1"/>
    <x v="2"/>
    <n v="97.36"/>
    <n v="-200"/>
    <n v="-297.36"/>
  </r>
  <r>
    <x v="1"/>
    <n v="22860"/>
    <x v="27"/>
    <n v="118"/>
    <s v="First Trust Financial"/>
    <n v="2"/>
    <x v="1"/>
    <s v="A2113"/>
    <x v="5"/>
    <n v="8"/>
    <n v="20"/>
    <n v="-20"/>
    <x v="3"/>
    <n v="8.15"/>
    <x v="1"/>
    <x v="1"/>
    <x v="2"/>
    <n v="65.2"/>
    <n v="-160"/>
    <n v="-225.2"/>
  </r>
  <r>
    <x v="0"/>
    <n v="22861"/>
    <x v="28"/>
    <n v="118"/>
    <s v="First Trust Financial"/>
    <n v="1"/>
    <x v="0"/>
    <s v="A2102"/>
    <x v="9"/>
    <m/>
    <n v="35"/>
    <n v="35"/>
    <x v="0"/>
    <n v="13.79"/>
    <x v="1"/>
    <x v="1"/>
    <x v="2"/>
    <n v="0"/>
    <n v="0"/>
    <n v="0"/>
  </r>
  <r>
    <x v="0"/>
    <n v="22861"/>
    <x v="28"/>
    <n v="118"/>
    <s v="First Trust Financial"/>
    <n v="2"/>
    <x v="0"/>
    <s v="A2114"/>
    <x v="10"/>
    <m/>
    <n v="30"/>
    <n v="30"/>
    <x v="0"/>
    <n v="11.59"/>
    <x v="1"/>
    <x v="1"/>
    <x v="2"/>
    <n v="0"/>
    <n v="0"/>
    <n v="0"/>
  </r>
  <r>
    <x v="0"/>
    <n v="22862"/>
    <x v="29"/>
    <n v="107"/>
    <s v="Erwin Mortgage"/>
    <n v="1"/>
    <x v="0"/>
    <s v="P1304"/>
    <x v="22"/>
    <n v="1"/>
    <n v="750"/>
    <n v="750"/>
    <x v="1"/>
    <n v="412.96"/>
    <x v="1"/>
    <x v="1"/>
    <x v="1"/>
    <n v="412.96"/>
    <n v="750"/>
    <n v="337.04"/>
  </r>
  <r>
    <x v="0"/>
    <n v="22863"/>
    <x v="30"/>
    <n v="110"/>
    <s v="Gulf Coast Motors"/>
    <n v="1"/>
    <x v="0"/>
    <s v="P1105"/>
    <x v="8"/>
    <n v="50"/>
    <n v="1500"/>
    <n v="1500"/>
    <x v="1"/>
    <n v="899.1"/>
    <x v="0"/>
    <x v="4"/>
    <x v="1"/>
    <n v="44955"/>
    <n v="75000"/>
    <n v="30045"/>
  </r>
  <r>
    <x v="0"/>
    <n v="22863"/>
    <x v="30"/>
    <n v="110"/>
    <s v="Gulf Coast Motors"/>
    <n v="2"/>
    <x v="0"/>
    <s v="A2101"/>
    <x v="4"/>
    <n v="50"/>
    <n v="0"/>
    <n v="0"/>
    <x v="2"/>
    <n v="12.17"/>
    <x v="0"/>
    <x v="4"/>
    <x v="2"/>
    <n v="608.5"/>
    <n v="0"/>
    <n v="-608.5"/>
  </r>
  <r>
    <x v="0"/>
    <n v="22863"/>
    <x v="30"/>
    <n v="110"/>
    <s v="Gulf Coast Motors"/>
    <n v="3"/>
    <x v="0"/>
    <s v="A2113"/>
    <x v="5"/>
    <n v="50"/>
    <n v="0"/>
    <n v="0"/>
    <x v="2"/>
    <n v="8.15"/>
    <x v="0"/>
    <x v="4"/>
    <x v="2"/>
    <n v="407.5"/>
    <n v="0"/>
    <n v="-407.5"/>
  </r>
  <r>
    <x v="0"/>
    <n v="22863"/>
    <x v="30"/>
    <n v="110"/>
    <s v="Gulf Coast Motors"/>
    <n v="4"/>
    <x v="0"/>
    <s v="A2116"/>
    <x v="6"/>
    <n v="50"/>
    <n v="0"/>
    <n v="0"/>
    <x v="2"/>
    <n v="12.33"/>
    <x v="0"/>
    <x v="4"/>
    <x v="2"/>
    <n v="616.5"/>
    <n v="0"/>
    <n v="-616.5"/>
  </r>
  <r>
    <x v="0"/>
    <n v="22863"/>
    <x v="30"/>
    <n v="110"/>
    <s v="Gulf Coast Motors"/>
    <n v="5"/>
    <x v="0"/>
    <s v="C5101"/>
    <x v="0"/>
    <n v="200"/>
    <n v="16"/>
    <n v="16"/>
    <x v="0"/>
    <n v="4.58"/>
    <x v="0"/>
    <x v="4"/>
    <x v="0"/>
    <n v="916"/>
    <n v="3200"/>
    <n v="2284"/>
  </r>
  <r>
    <x v="0"/>
    <n v="22863"/>
    <x v="30"/>
    <n v="110"/>
    <s v="Gulf Coast Motors"/>
    <n v="6"/>
    <x v="0"/>
    <s v="A2118"/>
    <x v="7"/>
    <n v="5"/>
    <n v="0"/>
    <n v="0"/>
    <x v="2"/>
    <n v="89.7"/>
    <x v="0"/>
    <x v="4"/>
    <x v="2"/>
    <n v="448.5"/>
    <n v="0"/>
    <n v="-448.5"/>
  </r>
  <r>
    <x v="0"/>
    <n v="22863"/>
    <x v="30"/>
    <n v="110"/>
    <s v="Gulf Coast Motors"/>
    <n v="7"/>
    <x v="0"/>
    <s v="P1302"/>
    <x v="23"/>
    <n v="10"/>
    <n v="600"/>
    <n v="600"/>
    <x v="1"/>
    <n v="317.25"/>
    <x v="0"/>
    <x v="4"/>
    <x v="1"/>
    <n v="3172.5"/>
    <n v="6000"/>
    <n v="2827.5"/>
  </r>
  <r>
    <x v="0"/>
    <n v="22863"/>
    <x v="30"/>
    <n v="110"/>
    <s v="Gulf Coast Motors"/>
    <n v="8"/>
    <x v="0"/>
    <s v="A2111"/>
    <x v="18"/>
    <n v="10"/>
    <n v="30"/>
    <n v="30"/>
    <x v="0"/>
    <n v="6.3"/>
    <x v="0"/>
    <x v="4"/>
    <x v="2"/>
    <n v="63"/>
    <n v="300"/>
    <n v="237"/>
  </r>
  <r>
    <x v="0"/>
    <n v="22863"/>
    <x v="30"/>
    <n v="110"/>
    <s v="Gulf Coast Motors"/>
    <n v="9"/>
    <x v="0"/>
    <s v="A2114"/>
    <x v="10"/>
    <n v="10"/>
    <n v="30"/>
    <n v="30"/>
    <x v="0"/>
    <n v="11.59"/>
    <x v="0"/>
    <x v="4"/>
    <x v="2"/>
    <n v="115.9"/>
    <n v="300"/>
    <n v="184.1"/>
  </r>
  <r>
    <x v="0"/>
    <n v="22863"/>
    <x v="30"/>
    <n v="110"/>
    <s v="Gulf Coast Motors"/>
    <n v="10"/>
    <x v="0"/>
    <s v="A2117"/>
    <x v="12"/>
    <n v="10"/>
    <n v="60"/>
    <n v="60"/>
    <x v="0"/>
    <n v="17.22"/>
    <x v="0"/>
    <x v="4"/>
    <x v="2"/>
    <n v="172.2"/>
    <n v="600"/>
    <n v="427.8"/>
  </r>
  <r>
    <x v="0"/>
    <n v="22864"/>
    <x v="31"/>
    <n v="119"/>
    <s v="Federal Tech Mortgage Brokers"/>
    <n v="1"/>
    <x v="0"/>
    <s v="P1311"/>
    <x v="17"/>
    <n v="5"/>
    <n v="2700"/>
    <n v="2700"/>
    <x v="1"/>
    <n v="1440.45"/>
    <x v="1"/>
    <x v="1"/>
    <x v="1"/>
    <n v="7202.25"/>
    <n v="13500"/>
    <n v="6297.75"/>
  </r>
  <r>
    <x v="0"/>
    <n v="22864"/>
    <x v="31"/>
    <n v="119"/>
    <s v="Federal Tech Mortgage Brokers"/>
    <n v="2"/>
    <x v="0"/>
    <s v="A2111"/>
    <x v="18"/>
    <n v="5"/>
    <n v="0"/>
    <n v="0"/>
    <x v="2"/>
    <n v="6.3"/>
    <x v="1"/>
    <x v="1"/>
    <x v="2"/>
    <n v="31.5"/>
    <n v="0"/>
    <n v="-31.5"/>
  </r>
  <r>
    <x v="0"/>
    <n v="22864"/>
    <x v="31"/>
    <n v="119"/>
    <s v="Federal Tech Mortgage Brokers"/>
    <n v="3"/>
    <x v="0"/>
    <s v="A2114"/>
    <x v="10"/>
    <n v="5"/>
    <n v="0"/>
    <n v="0"/>
    <x v="2"/>
    <n v="11.59"/>
    <x v="1"/>
    <x v="1"/>
    <x v="2"/>
    <n v="57.95"/>
    <n v="0"/>
    <n v="-57.95"/>
  </r>
  <r>
    <x v="0"/>
    <n v="22864"/>
    <x v="31"/>
    <n v="119"/>
    <s v="Federal Tech Mortgage Brokers"/>
    <n v="4"/>
    <x v="0"/>
    <s v="A2117"/>
    <x v="12"/>
    <n v="5"/>
    <n v="0"/>
    <n v="0"/>
    <x v="2"/>
    <n v="17.22"/>
    <x v="1"/>
    <x v="1"/>
    <x v="2"/>
    <n v="86.1"/>
    <n v="0"/>
    <n v="-86.1"/>
  </r>
  <r>
    <x v="0"/>
    <n v="22864"/>
    <x v="31"/>
    <n v="119"/>
    <s v="Federal Tech Mortgage Brokers"/>
    <n v="5"/>
    <x v="0"/>
    <s v="C5113"/>
    <x v="19"/>
    <n v="5"/>
    <n v="100"/>
    <n v="100"/>
    <x v="1"/>
    <n v="27.17"/>
    <x v="1"/>
    <x v="1"/>
    <x v="0"/>
    <n v="135.85000000000002"/>
    <n v="500"/>
    <n v="364.15"/>
  </r>
  <r>
    <x v="0"/>
    <n v="22864"/>
    <x v="31"/>
    <n v="119"/>
    <s v="Federal Tech Mortgage Brokers"/>
    <n v="6"/>
    <x v="0"/>
    <s v="C5114"/>
    <x v="20"/>
    <n v="5"/>
    <n v="140"/>
    <n v="140"/>
    <x v="1"/>
    <n v="34.299999999999997"/>
    <x v="1"/>
    <x v="1"/>
    <x v="0"/>
    <n v="171.5"/>
    <n v="700"/>
    <n v="528.5"/>
  </r>
  <r>
    <x v="0"/>
    <n v="22864"/>
    <x v="31"/>
    <n v="119"/>
    <s v="Federal Tech Mortgage Brokers"/>
    <n v="7"/>
    <x v="0"/>
    <s v="C5106"/>
    <x v="21"/>
    <n v="5"/>
    <n v="25"/>
    <n v="25"/>
    <x v="0"/>
    <n v="5.16"/>
    <x v="1"/>
    <x v="1"/>
    <x v="0"/>
    <n v="25.8"/>
    <n v="125"/>
    <n v="99.2"/>
  </r>
  <r>
    <x v="0"/>
    <n v="22864"/>
    <x v="31"/>
    <n v="119"/>
    <s v="Federal Tech Mortgage Brokers"/>
    <n v="8"/>
    <x v="0"/>
    <s v="C5108"/>
    <x v="16"/>
    <n v="5"/>
    <n v="24"/>
    <n v="24"/>
    <x v="0"/>
    <n v="7.09"/>
    <x v="1"/>
    <x v="1"/>
    <x v="0"/>
    <n v="35.450000000000003"/>
    <n v="120"/>
    <n v="84.55"/>
  </r>
  <r>
    <x v="1"/>
    <n v="22865"/>
    <x v="32"/>
    <n v="119"/>
    <s v="Federal Tech Mortgage Brokers"/>
    <n v="1"/>
    <x v="4"/>
    <s v="P1311"/>
    <x v="17"/>
    <n v="1"/>
    <n v="2700"/>
    <n v="-2700"/>
    <x v="3"/>
    <n v="1440.45"/>
    <x v="1"/>
    <x v="1"/>
    <x v="1"/>
    <n v="1440.45"/>
    <n v="-2700"/>
    <n v="-4140.45"/>
  </r>
  <r>
    <x v="0"/>
    <n v="22866"/>
    <x v="32"/>
    <n v="119"/>
    <s v="Federal Tech Mortgage Brokers"/>
    <n v="1"/>
    <x v="0"/>
    <s v="P1311"/>
    <x v="17"/>
    <n v="1"/>
    <n v="2700"/>
    <n v="2700"/>
    <x v="1"/>
    <n v="1440.45"/>
    <x v="1"/>
    <x v="1"/>
    <x v="1"/>
    <n v="1440.45"/>
    <n v="2700"/>
    <n v="1259.55"/>
  </r>
  <r>
    <x v="0"/>
    <n v="22867"/>
    <x v="33"/>
    <n v="101"/>
    <s v="Johnson Auto Group"/>
    <n v="1"/>
    <x v="0"/>
    <s v="C5103"/>
    <x v="2"/>
    <n v="120"/>
    <n v="24"/>
    <n v="24"/>
    <x v="0"/>
    <n v="6.9"/>
    <x v="0"/>
    <x v="1"/>
    <x v="0"/>
    <n v="828"/>
    <n v="2880"/>
    <n v="2052"/>
  </r>
  <r>
    <x v="0"/>
    <n v="22867"/>
    <x v="33"/>
    <n v="101"/>
    <s v="Johnson Auto Group"/>
    <n v="2"/>
    <x v="0"/>
    <s v="C5110"/>
    <x v="1"/>
    <n v="12"/>
    <n v="70"/>
    <n v="70"/>
    <x v="0"/>
    <n v="13.92"/>
    <x v="0"/>
    <x v="1"/>
    <x v="0"/>
    <n v="167.04"/>
    <n v="840"/>
    <n v="672.96"/>
  </r>
  <r>
    <x v="0"/>
    <n v="22868"/>
    <x v="33"/>
    <n v="105"/>
    <s v="Jackson Motors"/>
    <n v="1"/>
    <x v="0"/>
    <s v="C5103"/>
    <x v="2"/>
    <n v="120"/>
    <n v="24"/>
    <n v="24"/>
    <x v="0"/>
    <n v="6.9"/>
    <x v="0"/>
    <x v="5"/>
    <x v="0"/>
    <n v="828"/>
    <n v="2880"/>
    <n v="2052"/>
  </r>
  <r>
    <x v="0"/>
    <n v="22868"/>
    <x v="33"/>
    <n v="105"/>
    <s v="Jackson Motors"/>
    <n v="2"/>
    <x v="0"/>
    <s v="C5110"/>
    <x v="1"/>
    <n v="50"/>
    <n v="70"/>
    <n v="70"/>
    <x v="0"/>
    <n v="13.92"/>
    <x v="0"/>
    <x v="5"/>
    <x v="0"/>
    <n v="696"/>
    <n v="3500"/>
    <n v="2804"/>
  </r>
  <r>
    <x v="0"/>
    <n v="22869"/>
    <x v="33"/>
    <n v="106"/>
    <s v="JS Automotive"/>
    <n v="1"/>
    <x v="0"/>
    <s v="C5101"/>
    <x v="0"/>
    <n v="80"/>
    <n v="18"/>
    <n v="18"/>
    <x v="0"/>
    <n v="4.58"/>
    <x v="0"/>
    <x v="0"/>
    <x v="0"/>
    <n v="366.4"/>
    <n v="1440"/>
    <n v="1073.5999999999999"/>
  </r>
  <r>
    <x v="0"/>
    <n v="22869"/>
    <x v="33"/>
    <n v="106"/>
    <s v="JS Automotive"/>
    <n v="2"/>
    <x v="0"/>
    <s v="C5110"/>
    <x v="1"/>
    <n v="20"/>
    <n v="70"/>
    <n v="70"/>
    <x v="0"/>
    <n v="13.92"/>
    <x v="0"/>
    <x v="0"/>
    <x v="0"/>
    <n v="278.39999999999998"/>
    <n v="1400"/>
    <n v="1121.5999999999999"/>
  </r>
  <r>
    <x v="0"/>
    <n v="22870"/>
    <x v="33"/>
    <n v="107"/>
    <s v="Erwin Mortgage"/>
    <n v="1"/>
    <x v="0"/>
    <s v="C5103"/>
    <x v="2"/>
    <n v="10"/>
    <n v="30"/>
    <n v="30"/>
    <x v="0"/>
    <n v="6.9"/>
    <x v="1"/>
    <x v="1"/>
    <x v="0"/>
    <n v="69"/>
    <n v="300"/>
    <n v="231"/>
  </r>
  <r>
    <x v="0"/>
    <n v="22870"/>
    <x v="33"/>
    <n v="107"/>
    <s v="Erwin Mortgage"/>
    <n v="2"/>
    <x v="0"/>
    <s v="C5110"/>
    <x v="1"/>
    <n v="2"/>
    <n v="70"/>
    <n v="70"/>
    <x v="0"/>
    <n v="13.92"/>
    <x v="1"/>
    <x v="1"/>
    <x v="0"/>
    <n v="27.84"/>
    <n v="140"/>
    <n v="112.16"/>
  </r>
  <r>
    <x v="0"/>
    <n v="22871"/>
    <x v="33"/>
    <n v="108"/>
    <s v="O'Neil Motoring"/>
    <n v="1"/>
    <x v="0"/>
    <s v="C5113"/>
    <x v="19"/>
    <n v="20"/>
    <n v="100"/>
    <n v="100"/>
    <x v="1"/>
    <n v="27.17"/>
    <x v="1"/>
    <x v="3"/>
    <x v="0"/>
    <n v="543.40000000000009"/>
    <n v="2000"/>
    <n v="1456.6"/>
  </r>
  <r>
    <x v="0"/>
    <n v="22871"/>
    <x v="33"/>
    <n v="108"/>
    <s v="O'Neil Motoring"/>
    <n v="2"/>
    <x v="0"/>
    <s v="C5114"/>
    <x v="20"/>
    <n v="20"/>
    <n v="140"/>
    <n v="140"/>
    <x v="1"/>
    <n v="34.299999999999997"/>
    <x v="1"/>
    <x v="3"/>
    <x v="0"/>
    <n v="686"/>
    <n v="2800"/>
    <n v="2114"/>
  </r>
  <r>
    <x v="0"/>
    <n v="22871"/>
    <x v="33"/>
    <n v="108"/>
    <s v="O'Neil Motoring"/>
    <n v="3"/>
    <x v="0"/>
    <s v="C5108"/>
    <x v="16"/>
    <n v="100"/>
    <n v="19.200000000000003"/>
    <n v="19.200000000000003"/>
    <x v="0"/>
    <n v="7.09"/>
    <x v="1"/>
    <x v="3"/>
    <x v="0"/>
    <n v="709"/>
    <n v="1920.0000000000002"/>
    <n v="1211.0000000000002"/>
  </r>
  <r>
    <x v="0"/>
    <n v="22872"/>
    <x v="33"/>
    <n v="109"/>
    <s v="North Georgia Consolidated Financial"/>
    <n v="1"/>
    <x v="0"/>
    <s v="C5101"/>
    <x v="0"/>
    <n v="1"/>
    <n v="20"/>
    <n v="20"/>
    <x v="0"/>
    <n v="4.58"/>
    <x v="1"/>
    <x v="1"/>
    <x v="0"/>
    <n v="4.58"/>
    <n v="20"/>
    <n v="15.42"/>
  </r>
  <r>
    <x v="0"/>
    <n v="22872"/>
    <x v="33"/>
    <n v="109"/>
    <s v="North Georgia Consolidated Financial"/>
    <n v="2"/>
    <x v="0"/>
    <s v="C5109"/>
    <x v="24"/>
    <n v="1"/>
    <n v="50"/>
    <n v="50"/>
    <x v="0"/>
    <n v="11.67"/>
    <x v="1"/>
    <x v="1"/>
    <x v="0"/>
    <n v="11.67"/>
    <n v="50"/>
    <n v="38.33"/>
  </r>
  <r>
    <x v="0"/>
    <n v="22873"/>
    <x v="33"/>
    <n v="112"/>
    <s v="Macon Financial Title Company"/>
    <n v="1"/>
    <x v="0"/>
    <s v="C5110"/>
    <x v="1"/>
    <n v="5"/>
    <n v="70"/>
    <n v="70"/>
    <x v="0"/>
    <n v="13.92"/>
    <x v="1"/>
    <x v="1"/>
    <x v="0"/>
    <n v="69.599999999999994"/>
    <n v="350"/>
    <n v="280.39999999999998"/>
  </r>
  <r>
    <x v="0"/>
    <n v="22873"/>
    <x v="33"/>
    <n v="112"/>
    <s v="Macon Financial Title Company"/>
    <n v="2"/>
    <x v="0"/>
    <s v="C5103"/>
    <x v="2"/>
    <n v="5"/>
    <n v="30"/>
    <n v="30"/>
    <x v="0"/>
    <n v="6.9"/>
    <x v="1"/>
    <x v="1"/>
    <x v="0"/>
    <n v="34.5"/>
    <n v="150"/>
    <n v="115.5"/>
  </r>
  <r>
    <x v="0"/>
    <n v="22874"/>
    <x v="33"/>
    <n v="113"/>
    <s v="Jefferson Mortgage"/>
    <n v="1"/>
    <x v="0"/>
    <s v="C5103"/>
    <x v="2"/>
    <n v="250"/>
    <n v="24"/>
    <n v="24"/>
    <x v="0"/>
    <n v="6.9"/>
    <x v="1"/>
    <x v="1"/>
    <x v="0"/>
    <n v="1725"/>
    <n v="6000"/>
    <n v="4275"/>
  </r>
  <r>
    <x v="0"/>
    <n v="22874"/>
    <x v="33"/>
    <n v="113"/>
    <s v="Jefferson Mortgage"/>
    <n v="2"/>
    <x v="0"/>
    <s v="C5110"/>
    <x v="1"/>
    <n v="50"/>
    <n v="70"/>
    <n v="70"/>
    <x v="0"/>
    <n v="13.92"/>
    <x v="1"/>
    <x v="1"/>
    <x v="0"/>
    <n v="696"/>
    <n v="3500"/>
    <n v="2804"/>
  </r>
  <r>
    <x v="0"/>
    <n v="22875"/>
    <x v="33"/>
    <n v="114"/>
    <s v="Godderis Automotive Group"/>
    <n v="1"/>
    <x v="0"/>
    <s v="C5113"/>
    <x v="19"/>
    <n v="8"/>
    <n v="100"/>
    <n v="100"/>
    <x v="1"/>
    <n v="27.17"/>
    <x v="0"/>
    <x v="2"/>
    <x v="0"/>
    <n v="217.36"/>
    <n v="800"/>
    <n v="582.64"/>
  </r>
  <r>
    <x v="0"/>
    <n v="22875"/>
    <x v="33"/>
    <n v="114"/>
    <s v="Godderis Automotive Group"/>
    <n v="2"/>
    <x v="0"/>
    <s v="C5114"/>
    <x v="20"/>
    <n v="6"/>
    <n v="140"/>
    <n v="140"/>
    <x v="1"/>
    <n v="34.299999999999997"/>
    <x v="0"/>
    <x v="2"/>
    <x v="0"/>
    <n v="205.79999999999998"/>
    <n v="840"/>
    <n v="634.20000000000005"/>
  </r>
  <r>
    <x v="0"/>
    <n v="22875"/>
    <x v="33"/>
    <n v="114"/>
    <s v="Godderis Automotive Group"/>
    <n v="3"/>
    <x v="0"/>
    <s v="C5106"/>
    <x v="21"/>
    <n v="15"/>
    <n v="25"/>
    <n v="25"/>
    <x v="0"/>
    <n v="5.16"/>
    <x v="0"/>
    <x v="2"/>
    <x v="0"/>
    <n v="77.400000000000006"/>
    <n v="375"/>
    <n v="297.60000000000002"/>
  </r>
  <r>
    <x v="0"/>
    <n v="22875"/>
    <x v="33"/>
    <n v="114"/>
    <s v="Godderis Automotive Group"/>
    <n v="4"/>
    <x v="0"/>
    <s v="C5108"/>
    <x v="16"/>
    <n v="22"/>
    <n v="24"/>
    <n v="24"/>
    <x v="0"/>
    <n v="7.09"/>
    <x v="0"/>
    <x v="2"/>
    <x v="0"/>
    <n v="155.97999999999999"/>
    <n v="528"/>
    <n v="372.02"/>
  </r>
  <r>
    <x v="0"/>
    <n v="22876"/>
    <x v="33"/>
    <n v="116"/>
    <s v="McAndrews Automotive"/>
    <n v="1"/>
    <x v="0"/>
    <s v="C5103"/>
    <x v="2"/>
    <n v="50"/>
    <n v="30"/>
    <n v="30"/>
    <x v="0"/>
    <n v="6.9"/>
    <x v="0"/>
    <x v="0"/>
    <x v="0"/>
    <n v="345"/>
    <n v="1500"/>
    <n v="1155"/>
  </r>
  <r>
    <x v="0"/>
    <n v="22876"/>
    <x v="33"/>
    <n v="116"/>
    <s v="McAndrews Automotive"/>
    <n v="2"/>
    <x v="0"/>
    <s v="C5110"/>
    <x v="1"/>
    <n v="20"/>
    <n v="70"/>
    <n v="70"/>
    <x v="0"/>
    <n v="13.92"/>
    <x v="0"/>
    <x v="0"/>
    <x v="0"/>
    <n v="278.39999999999998"/>
    <n v="1400"/>
    <n v="1121.5999999999999"/>
  </r>
  <r>
    <x v="0"/>
    <n v="22876"/>
    <x v="33"/>
    <n v="116"/>
    <s v="McAndrews Automotive"/>
    <n v="3"/>
    <x v="0"/>
    <s v="A2118"/>
    <x v="7"/>
    <n v="2"/>
    <n v="250"/>
    <n v="250"/>
    <x v="1"/>
    <n v="89.7"/>
    <x v="0"/>
    <x v="0"/>
    <x v="2"/>
    <n v="179.4"/>
    <n v="500"/>
    <n v="320.60000000000002"/>
  </r>
  <r>
    <x v="0"/>
    <n v="22877"/>
    <x v="33"/>
    <n v="117"/>
    <s v="Sullivan Motors"/>
    <n v="1"/>
    <x v="0"/>
    <s v="C5110"/>
    <x v="1"/>
    <n v="14"/>
    <n v="70"/>
    <n v="70"/>
    <x v="0"/>
    <n v="13.92"/>
    <x v="0"/>
    <x v="1"/>
    <x v="0"/>
    <n v="194.88"/>
    <n v="980"/>
    <n v="785.12"/>
  </r>
  <r>
    <x v="0"/>
    <n v="22877"/>
    <x v="33"/>
    <n v="117"/>
    <s v="Sullivan Motors"/>
    <n v="2"/>
    <x v="0"/>
    <s v="C5103"/>
    <x v="2"/>
    <n v="14"/>
    <n v="30"/>
    <n v="30"/>
    <x v="0"/>
    <n v="6.9"/>
    <x v="0"/>
    <x v="1"/>
    <x v="0"/>
    <n v="96.600000000000009"/>
    <n v="420"/>
    <n v="323.39999999999998"/>
  </r>
  <r>
    <x v="0"/>
    <n v="22878"/>
    <x v="33"/>
    <n v="119"/>
    <s v="Federal Tech Mortgage Brokers"/>
    <n v="1"/>
    <x v="0"/>
    <s v="C5113"/>
    <x v="19"/>
    <n v="5"/>
    <n v="100"/>
    <n v="100"/>
    <x v="1"/>
    <n v="27.17"/>
    <x v="1"/>
    <x v="1"/>
    <x v="0"/>
    <n v="135.85000000000002"/>
    <n v="500"/>
    <n v="364.15"/>
  </r>
  <r>
    <x v="0"/>
    <n v="22878"/>
    <x v="33"/>
    <n v="119"/>
    <s v="Federal Tech Mortgage Brokers"/>
    <n v="2"/>
    <x v="0"/>
    <s v="C5114"/>
    <x v="20"/>
    <n v="5"/>
    <n v="140"/>
    <n v="140"/>
    <x v="1"/>
    <n v="34.299999999999997"/>
    <x v="1"/>
    <x v="1"/>
    <x v="0"/>
    <n v="171.5"/>
    <n v="700"/>
    <n v="528.5"/>
  </r>
  <r>
    <x v="0"/>
    <n v="22878"/>
    <x v="33"/>
    <n v="119"/>
    <s v="Federal Tech Mortgage Brokers"/>
    <n v="3"/>
    <x v="0"/>
    <s v="C5106"/>
    <x v="21"/>
    <n v="50"/>
    <n v="25"/>
    <n v="25"/>
    <x v="0"/>
    <n v="5.16"/>
    <x v="1"/>
    <x v="1"/>
    <x v="0"/>
    <n v="258"/>
    <n v="1250"/>
    <n v="992"/>
  </r>
  <r>
    <x v="0"/>
    <n v="22878"/>
    <x v="33"/>
    <n v="119"/>
    <s v="Federal Tech Mortgage Brokers"/>
    <n v="4"/>
    <x v="0"/>
    <s v="C5108"/>
    <x v="16"/>
    <n v="50"/>
    <n v="24"/>
    <n v="24"/>
    <x v="0"/>
    <n v="7.09"/>
    <x v="1"/>
    <x v="1"/>
    <x v="0"/>
    <n v="354.5"/>
    <n v="1200"/>
    <n v="845.5"/>
  </r>
  <r>
    <x v="0"/>
    <n v="22879"/>
    <x v="34"/>
    <n v="101"/>
    <s v="Johnson Auto Group"/>
    <n v="1"/>
    <x v="0"/>
    <s v="P1105"/>
    <x v="8"/>
    <n v="25"/>
    <n v="1500"/>
    <n v="1500"/>
    <x v="1"/>
    <n v="899.1"/>
    <x v="0"/>
    <x v="1"/>
    <x v="1"/>
    <n v="22477.5"/>
    <n v="37500"/>
    <n v="15022.5"/>
  </r>
  <r>
    <x v="0"/>
    <n v="22879"/>
    <x v="34"/>
    <n v="101"/>
    <s v="Johnson Auto Group"/>
    <n v="2"/>
    <x v="0"/>
    <s v="A2101"/>
    <x v="4"/>
    <n v="15"/>
    <n v="0"/>
    <n v="0"/>
    <x v="2"/>
    <n v="12.17"/>
    <x v="0"/>
    <x v="1"/>
    <x v="2"/>
    <n v="182.55"/>
    <n v="0"/>
    <n v="-182.55"/>
  </r>
  <r>
    <x v="0"/>
    <n v="22879"/>
    <x v="34"/>
    <n v="101"/>
    <s v="Johnson Auto Group"/>
    <n v="3"/>
    <x v="0"/>
    <s v="A2113"/>
    <x v="5"/>
    <n v="15"/>
    <n v="0"/>
    <n v="0"/>
    <x v="2"/>
    <n v="8.15"/>
    <x v="0"/>
    <x v="1"/>
    <x v="2"/>
    <n v="122.25"/>
    <n v="0"/>
    <n v="-122.25"/>
  </r>
  <r>
    <x v="0"/>
    <n v="22879"/>
    <x v="34"/>
    <n v="101"/>
    <s v="Johnson Auto Group"/>
    <n v="4"/>
    <x v="0"/>
    <s v="A2116"/>
    <x v="6"/>
    <n v="15"/>
    <n v="0"/>
    <n v="0"/>
    <x v="2"/>
    <n v="12.33"/>
    <x v="0"/>
    <x v="1"/>
    <x v="2"/>
    <n v="184.95"/>
    <n v="0"/>
    <n v="-184.95"/>
  </r>
  <r>
    <x v="0"/>
    <n v="22879"/>
    <x v="34"/>
    <n v="101"/>
    <s v="Johnson Auto Group"/>
    <n v="5"/>
    <x v="0"/>
    <s v="A2118"/>
    <x v="7"/>
    <n v="2"/>
    <n v="0"/>
    <n v="0"/>
    <x v="2"/>
    <n v="89.7"/>
    <x v="0"/>
    <x v="1"/>
    <x v="2"/>
    <n v="179.4"/>
    <n v="0"/>
    <n v="-179.4"/>
  </r>
  <r>
    <x v="0"/>
    <n v="22880"/>
    <x v="35"/>
    <n v="104"/>
    <s v="Cammarano Automotive"/>
    <n v="1"/>
    <x v="0"/>
    <s v="C5101"/>
    <x v="0"/>
    <n v="10"/>
    <n v="20"/>
    <n v="20"/>
    <x v="0"/>
    <n v="4.58"/>
    <x v="0"/>
    <x v="2"/>
    <x v="0"/>
    <n v="45.8"/>
    <n v="200"/>
    <n v="154.19999999999999"/>
  </r>
  <r>
    <x v="0"/>
    <n v="22881"/>
    <x v="36"/>
    <n v="101"/>
    <s v="Johnson Auto Group"/>
    <n v="1"/>
    <x v="0"/>
    <s v="C5103"/>
    <x v="2"/>
    <n v="250"/>
    <n v="24"/>
    <n v="24"/>
    <x v="0"/>
    <n v="6.9"/>
    <x v="0"/>
    <x v="1"/>
    <x v="0"/>
    <n v="1725"/>
    <n v="6000"/>
    <n v="4275"/>
  </r>
  <r>
    <x v="0"/>
    <n v="22881"/>
    <x v="36"/>
    <n v="101"/>
    <s v="Johnson Auto Group"/>
    <n v="2"/>
    <x v="0"/>
    <s v="C5110"/>
    <x v="1"/>
    <n v="25"/>
    <n v="70"/>
    <n v="70"/>
    <x v="0"/>
    <n v="13.92"/>
    <x v="0"/>
    <x v="1"/>
    <x v="0"/>
    <n v="348"/>
    <n v="1750"/>
    <n v="1402"/>
  </r>
  <r>
    <x v="0"/>
    <n v="22882"/>
    <x v="36"/>
    <n v="102"/>
    <s v="McKesson Auto Group"/>
    <n v="1"/>
    <x v="0"/>
    <s v="C5102"/>
    <x v="13"/>
    <n v="40"/>
    <n v="35"/>
    <n v="35"/>
    <x v="0"/>
    <n v="6.37"/>
    <x v="0"/>
    <x v="1"/>
    <x v="0"/>
    <n v="254.8"/>
    <n v="1400"/>
    <n v="1145.2"/>
  </r>
  <r>
    <x v="0"/>
    <n v="22882"/>
    <x v="36"/>
    <n v="102"/>
    <s v="McKesson Auto Group"/>
    <n v="2"/>
    <x v="0"/>
    <s v="C5110"/>
    <x v="1"/>
    <n v="5"/>
    <n v="70"/>
    <n v="70"/>
    <x v="0"/>
    <n v="13.92"/>
    <x v="0"/>
    <x v="1"/>
    <x v="0"/>
    <n v="69.599999999999994"/>
    <n v="350"/>
    <n v="280.39999999999998"/>
  </r>
  <r>
    <x v="0"/>
    <n v="22883"/>
    <x v="36"/>
    <n v="105"/>
    <s v="Jackson Motors"/>
    <n v="1"/>
    <x v="0"/>
    <s v="C5103"/>
    <x v="2"/>
    <n v="120"/>
    <n v="24"/>
    <n v="24"/>
    <x v="0"/>
    <n v="6.9"/>
    <x v="0"/>
    <x v="5"/>
    <x v="0"/>
    <n v="828"/>
    <n v="2880"/>
    <n v="2052"/>
  </r>
  <r>
    <x v="0"/>
    <n v="22883"/>
    <x v="36"/>
    <n v="105"/>
    <s v="Jackson Motors"/>
    <n v="2"/>
    <x v="0"/>
    <s v="C5110"/>
    <x v="1"/>
    <n v="50"/>
    <n v="70"/>
    <n v="70"/>
    <x v="0"/>
    <n v="13.92"/>
    <x v="0"/>
    <x v="5"/>
    <x v="0"/>
    <n v="696"/>
    <n v="3500"/>
    <n v="2804"/>
  </r>
  <r>
    <x v="0"/>
    <n v="22884"/>
    <x v="36"/>
    <n v="106"/>
    <s v="JS Automotive"/>
    <n v="1"/>
    <x v="0"/>
    <s v="C5101"/>
    <x v="0"/>
    <n v="80"/>
    <n v="18"/>
    <n v="18"/>
    <x v="0"/>
    <n v="4.58"/>
    <x v="0"/>
    <x v="0"/>
    <x v="0"/>
    <n v="366.4"/>
    <n v="1440"/>
    <n v="1073.5999999999999"/>
  </r>
  <r>
    <x v="0"/>
    <n v="22884"/>
    <x v="36"/>
    <n v="106"/>
    <s v="JS Automotive"/>
    <n v="2"/>
    <x v="0"/>
    <s v="C5110"/>
    <x v="1"/>
    <n v="20"/>
    <n v="70"/>
    <n v="70"/>
    <x v="0"/>
    <n v="13.92"/>
    <x v="0"/>
    <x v="0"/>
    <x v="0"/>
    <n v="278.39999999999998"/>
    <n v="1400"/>
    <n v="1121.5999999999999"/>
  </r>
  <r>
    <x v="0"/>
    <n v="22885"/>
    <x v="36"/>
    <n v="107"/>
    <s v="Erwin Mortgage"/>
    <n v="1"/>
    <x v="0"/>
    <s v="C5103"/>
    <x v="2"/>
    <n v="10"/>
    <n v="30"/>
    <n v="30"/>
    <x v="0"/>
    <n v="6.9"/>
    <x v="1"/>
    <x v="1"/>
    <x v="0"/>
    <n v="69"/>
    <n v="300"/>
    <n v="231"/>
  </r>
  <r>
    <x v="0"/>
    <n v="22886"/>
    <x v="36"/>
    <n v="107"/>
    <s v="Erwin Mortgage"/>
    <n v="1"/>
    <x v="0"/>
    <s v="C5113"/>
    <x v="19"/>
    <n v="1"/>
    <n v="100"/>
    <n v="100"/>
    <x v="1"/>
    <n v="27.17"/>
    <x v="1"/>
    <x v="1"/>
    <x v="0"/>
    <n v="27.17"/>
    <n v="100"/>
    <n v="72.83"/>
  </r>
  <r>
    <x v="0"/>
    <n v="22886"/>
    <x v="36"/>
    <n v="107"/>
    <s v="Erwin Mortgage"/>
    <n v="2"/>
    <x v="0"/>
    <s v="C5110"/>
    <x v="1"/>
    <n v="2"/>
    <n v="70"/>
    <n v="70"/>
    <x v="0"/>
    <n v="13.92"/>
    <x v="1"/>
    <x v="1"/>
    <x v="0"/>
    <n v="27.84"/>
    <n v="140"/>
    <n v="112.16"/>
  </r>
  <r>
    <x v="0"/>
    <n v="22886"/>
    <x v="36"/>
    <n v="107"/>
    <s v="Erwin Mortgage"/>
    <n v="2"/>
    <x v="0"/>
    <s v="C5114"/>
    <x v="20"/>
    <n v="1"/>
    <n v="140"/>
    <n v="140"/>
    <x v="1"/>
    <n v="34.299999999999997"/>
    <x v="1"/>
    <x v="1"/>
    <x v="0"/>
    <n v="34.299999999999997"/>
    <n v="140"/>
    <n v="105.7"/>
  </r>
  <r>
    <x v="0"/>
    <n v="22887"/>
    <x v="36"/>
    <n v="112"/>
    <s v="Macon Financial Title Company"/>
    <n v="1"/>
    <x v="0"/>
    <s v="C5110"/>
    <x v="1"/>
    <n v="5"/>
    <n v="70"/>
    <n v="70"/>
    <x v="0"/>
    <n v="13.92"/>
    <x v="1"/>
    <x v="1"/>
    <x v="0"/>
    <n v="69.599999999999994"/>
    <n v="350"/>
    <n v="280.39999999999998"/>
  </r>
  <r>
    <x v="0"/>
    <n v="22887"/>
    <x v="36"/>
    <n v="112"/>
    <s v="Macon Financial Title Company"/>
    <n v="2"/>
    <x v="0"/>
    <s v="C5103"/>
    <x v="2"/>
    <n v="5"/>
    <n v="30"/>
    <n v="30"/>
    <x v="0"/>
    <n v="6.9"/>
    <x v="1"/>
    <x v="1"/>
    <x v="0"/>
    <n v="34.5"/>
    <n v="150"/>
    <n v="115.5"/>
  </r>
  <r>
    <x v="0"/>
    <n v="22888"/>
    <x v="36"/>
    <n v="113"/>
    <s v="Jefferson Mortgage"/>
    <n v="1"/>
    <x v="0"/>
    <s v="C5103"/>
    <x v="2"/>
    <n v="250"/>
    <n v="24"/>
    <n v="24"/>
    <x v="0"/>
    <n v="6.9"/>
    <x v="1"/>
    <x v="1"/>
    <x v="0"/>
    <n v="1725"/>
    <n v="6000"/>
    <n v="4275"/>
  </r>
  <r>
    <x v="0"/>
    <n v="22888"/>
    <x v="36"/>
    <n v="113"/>
    <s v="Jefferson Mortgage"/>
    <n v="2"/>
    <x v="0"/>
    <s v="C5110"/>
    <x v="1"/>
    <n v="50"/>
    <n v="70"/>
    <n v="70"/>
    <x v="0"/>
    <n v="13.92"/>
    <x v="1"/>
    <x v="1"/>
    <x v="0"/>
    <n v="696"/>
    <n v="3500"/>
    <n v="2804"/>
  </r>
  <r>
    <x v="0"/>
    <n v="22889"/>
    <x v="36"/>
    <n v="114"/>
    <s v="Godderis Automotive Group"/>
    <n v="1"/>
    <x v="0"/>
    <s v="C5113"/>
    <x v="19"/>
    <n v="8"/>
    <n v="100"/>
    <n v="100"/>
    <x v="1"/>
    <n v="27.17"/>
    <x v="0"/>
    <x v="2"/>
    <x v="0"/>
    <n v="217.36"/>
    <n v="800"/>
    <n v="582.64"/>
  </r>
  <r>
    <x v="0"/>
    <n v="22889"/>
    <x v="36"/>
    <n v="114"/>
    <s v="Godderis Automotive Group"/>
    <n v="2"/>
    <x v="0"/>
    <s v="C5114"/>
    <x v="20"/>
    <n v="6"/>
    <n v="140"/>
    <n v="140"/>
    <x v="1"/>
    <n v="34.299999999999997"/>
    <x v="0"/>
    <x v="2"/>
    <x v="0"/>
    <n v="205.79999999999998"/>
    <n v="840"/>
    <n v="634.20000000000005"/>
  </r>
  <r>
    <x v="0"/>
    <n v="22889"/>
    <x v="36"/>
    <n v="114"/>
    <s v="Godderis Automotive Group"/>
    <n v="3"/>
    <x v="0"/>
    <s v="C5106"/>
    <x v="21"/>
    <n v="15"/>
    <n v="25"/>
    <n v="25"/>
    <x v="0"/>
    <n v="5.16"/>
    <x v="0"/>
    <x v="2"/>
    <x v="0"/>
    <n v="77.400000000000006"/>
    <n v="375"/>
    <n v="297.60000000000002"/>
  </r>
  <r>
    <x v="0"/>
    <n v="22889"/>
    <x v="36"/>
    <n v="114"/>
    <s v="Godderis Automotive Group"/>
    <n v="4"/>
    <x v="0"/>
    <s v="C5108"/>
    <x v="16"/>
    <n v="22"/>
    <n v="24"/>
    <n v="24"/>
    <x v="0"/>
    <n v="7.09"/>
    <x v="0"/>
    <x v="2"/>
    <x v="0"/>
    <n v="155.97999999999999"/>
    <n v="528"/>
    <n v="372.02"/>
  </r>
  <r>
    <x v="0"/>
    <n v="22890"/>
    <x v="36"/>
    <n v="115"/>
    <s v="Briggs Motoring Company"/>
    <n v="1"/>
    <x v="0"/>
    <s v="C5102"/>
    <x v="13"/>
    <n v="20"/>
    <n v="35"/>
    <n v="35"/>
    <x v="0"/>
    <n v="6.37"/>
    <x v="0"/>
    <x v="0"/>
    <x v="0"/>
    <n v="127.4"/>
    <n v="700"/>
    <n v="572.6"/>
  </r>
  <r>
    <x v="0"/>
    <n v="22890"/>
    <x v="36"/>
    <n v="115"/>
    <s v="Briggs Motoring Company"/>
    <n v="2"/>
    <x v="0"/>
    <s v="C5110"/>
    <x v="1"/>
    <n v="5"/>
    <n v="70"/>
    <n v="70"/>
    <x v="0"/>
    <n v="13.92"/>
    <x v="0"/>
    <x v="0"/>
    <x v="0"/>
    <n v="69.599999999999994"/>
    <n v="350"/>
    <n v="280.39999999999998"/>
  </r>
  <r>
    <x v="0"/>
    <n v="22890"/>
    <x v="36"/>
    <n v="115"/>
    <s v="Briggs Motoring Company"/>
    <n v="3"/>
    <x v="0"/>
    <s v="A2118"/>
    <x v="7"/>
    <n v="1"/>
    <n v="250"/>
    <n v="250"/>
    <x v="1"/>
    <n v="89.7"/>
    <x v="0"/>
    <x v="0"/>
    <x v="2"/>
    <n v="89.7"/>
    <n v="250"/>
    <n v="160.30000000000001"/>
  </r>
  <r>
    <x v="0"/>
    <n v="22891"/>
    <x v="36"/>
    <n v="116"/>
    <s v="McAndrews Automotive"/>
    <n v="1"/>
    <x v="0"/>
    <s v="C5103"/>
    <x v="2"/>
    <n v="50"/>
    <n v="30"/>
    <n v="30"/>
    <x v="0"/>
    <n v="6.9"/>
    <x v="0"/>
    <x v="0"/>
    <x v="0"/>
    <n v="345"/>
    <n v="1500"/>
    <n v="1155"/>
  </r>
  <r>
    <x v="0"/>
    <n v="22891"/>
    <x v="36"/>
    <n v="116"/>
    <s v="McAndrews Automotive"/>
    <n v="2"/>
    <x v="0"/>
    <s v="C5110"/>
    <x v="1"/>
    <n v="20"/>
    <n v="70"/>
    <n v="70"/>
    <x v="0"/>
    <n v="13.92"/>
    <x v="0"/>
    <x v="0"/>
    <x v="0"/>
    <n v="278.39999999999998"/>
    <n v="1400"/>
    <n v="1121.5999999999999"/>
  </r>
  <r>
    <x v="0"/>
    <n v="22892"/>
    <x v="36"/>
    <n v="117"/>
    <s v="Sullivan Motors"/>
    <n v="1"/>
    <x v="0"/>
    <s v="C5110"/>
    <x v="1"/>
    <n v="10"/>
    <n v="70"/>
    <n v="70"/>
    <x v="0"/>
    <n v="13.92"/>
    <x v="0"/>
    <x v="1"/>
    <x v="0"/>
    <n v="139.19999999999999"/>
    <n v="700"/>
    <n v="560.79999999999995"/>
  </r>
  <r>
    <x v="0"/>
    <n v="22892"/>
    <x v="36"/>
    <n v="117"/>
    <s v="Sullivan Motors"/>
    <n v="2"/>
    <x v="0"/>
    <s v="C5103"/>
    <x v="2"/>
    <n v="10"/>
    <n v="30"/>
    <n v="30"/>
    <x v="0"/>
    <n v="6.9"/>
    <x v="0"/>
    <x v="1"/>
    <x v="0"/>
    <n v="69"/>
    <n v="300"/>
    <n v="231"/>
  </r>
  <r>
    <x v="0"/>
    <n v="22893"/>
    <x v="36"/>
    <n v="119"/>
    <s v="Federal Tech Mortgage Brokers"/>
    <n v="1"/>
    <x v="0"/>
    <s v="C5113"/>
    <x v="19"/>
    <n v="5"/>
    <n v="100"/>
    <n v="100"/>
    <x v="1"/>
    <n v="27.17"/>
    <x v="1"/>
    <x v="1"/>
    <x v="0"/>
    <n v="135.85000000000002"/>
    <n v="500"/>
    <n v="364.15"/>
  </r>
  <r>
    <x v="0"/>
    <n v="22893"/>
    <x v="36"/>
    <n v="119"/>
    <s v="Federal Tech Mortgage Brokers"/>
    <n v="2"/>
    <x v="0"/>
    <s v="C5114"/>
    <x v="20"/>
    <n v="5"/>
    <n v="140"/>
    <n v="140"/>
    <x v="1"/>
    <n v="34.299999999999997"/>
    <x v="1"/>
    <x v="1"/>
    <x v="0"/>
    <n v="171.5"/>
    <n v="700"/>
    <n v="528.5"/>
  </r>
  <r>
    <x v="0"/>
    <n v="22893"/>
    <x v="36"/>
    <n v="119"/>
    <s v="Federal Tech Mortgage Brokers"/>
    <n v="3"/>
    <x v="0"/>
    <s v="C5106"/>
    <x v="21"/>
    <n v="50"/>
    <n v="25"/>
    <n v="25"/>
    <x v="0"/>
    <n v="5.16"/>
    <x v="1"/>
    <x v="1"/>
    <x v="0"/>
    <n v="258"/>
    <n v="1250"/>
    <n v="992"/>
  </r>
  <r>
    <x v="0"/>
    <n v="22893"/>
    <x v="36"/>
    <n v="119"/>
    <s v="Federal Tech Mortgage Brokers"/>
    <n v="4"/>
    <x v="0"/>
    <s v="C5108"/>
    <x v="16"/>
    <n v="50"/>
    <n v="24"/>
    <n v="24"/>
    <x v="0"/>
    <n v="7.09"/>
    <x v="1"/>
    <x v="1"/>
    <x v="0"/>
    <n v="354.5"/>
    <n v="1200"/>
    <n v="845.5"/>
  </r>
  <r>
    <x v="0"/>
    <n v="22894"/>
    <x v="37"/>
    <n v="111"/>
    <s v="Birmingham Automotive Group"/>
    <n v="1"/>
    <x v="0"/>
    <s v="P1204"/>
    <x v="25"/>
    <n v="20"/>
    <n v="300"/>
    <n v="300"/>
    <x v="1"/>
    <n v="174.69"/>
    <x v="0"/>
    <x v="4"/>
    <x v="1"/>
    <n v="3493.8"/>
    <n v="6000"/>
    <n v="2506.1999999999998"/>
  </r>
  <r>
    <x v="0"/>
    <n v="22894"/>
    <x v="37"/>
    <n v="111"/>
    <s v="Birmingham Automotive Group"/>
    <n v="2"/>
    <x v="0"/>
    <s v="A2110"/>
    <x v="26"/>
    <n v="20"/>
    <n v="20"/>
    <n v="20"/>
    <x v="0"/>
    <n v="4.8"/>
    <x v="0"/>
    <x v="4"/>
    <x v="2"/>
    <n v="96"/>
    <n v="400"/>
    <n v="304"/>
  </r>
  <r>
    <x v="0"/>
    <n v="22894"/>
    <x v="37"/>
    <n v="111"/>
    <s v="Birmingham Automotive Group"/>
    <n v="3"/>
    <x v="0"/>
    <s v="A2113"/>
    <x v="5"/>
    <n v="20"/>
    <n v="20"/>
    <n v="20"/>
    <x v="0"/>
    <n v="8.15"/>
    <x v="0"/>
    <x v="4"/>
    <x v="2"/>
    <n v="163"/>
    <n v="400"/>
    <n v="237"/>
  </r>
  <r>
    <x v="0"/>
    <n v="22894"/>
    <x v="37"/>
    <n v="111"/>
    <s v="Birmingham Automotive Group"/>
    <n v="4"/>
    <x v="0"/>
    <s v="A2116"/>
    <x v="6"/>
    <n v="20"/>
    <n v="40"/>
    <n v="40"/>
    <x v="0"/>
    <n v="12.33"/>
    <x v="0"/>
    <x v="4"/>
    <x v="2"/>
    <n v="246.6"/>
    <n v="800"/>
    <n v="553.4"/>
  </r>
  <r>
    <x v="0"/>
    <n v="22894"/>
    <x v="37"/>
    <n v="111"/>
    <s v="Birmingham Automotive Group"/>
    <n v="5"/>
    <x v="0"/>
    <s v="A2120"/>
    <x v="27"/>
    <n v="20"/>
    <n v="250"/>
    <n v="250"/>
    <x v="1"/>
    <n v="76.19"/>
    <x v="0"/>
    <x v="4"/>
    <x v="2"/>
    <n v="1523.8"/>
    <n v="5000"/>
    <n v="3476.2"/>
  </r>
  <r>
    <x v="0"/>
    <n v="22895"/>
    <x v="38"/>
    <n v="109"/>
    <s v="North Georgia Consolidated Financial"/>
    <n v="1"/>
    <x v="0"/>
    <s v="P1204"/>
    <x v="25"/>
    <n v="1"/>
    <n v="300"/>
    <n v="300"/>
    <x v="1"/>
    <n v="174.69"/>
    <x v="1"/>
    <x v="1"/>
    <x v="1"/>
    <n v="174.69"/>
    <n v="300"/>
    <n v="125.31"/>
  </r>
  <r>
    <x v="0"/>
    <n v="22895"/>
    <x v="38"/>
    <n v="109"/>
    <s v="North Georgia Consolidated Financial"/>
    <n v="2"/>
    <x v="0"/>
    <s v="A2110"/>
    <x v="26"/>
    <n v="1"/>
    <n v="20"/>
    <n v="20"/>
    <x v="0"/>
    <n v="4.8"/>
    <x v="1"/>
    <x v="1"/>
    <x v="2"/>
    <n v="4.8"/>
    <n v="20"/>
    <n v="15.2"/>
  </r>
  <r>
    <x v="0"/>
    <n v="22895"/>
    <x v="38"/>
    <n v="109"/>
    <s v="North Georgia Consolidated Financial"/>
    <n v="3"/>
    <x v="0"/>
    <s v="A2114"/>
    <x v="10"/>
    <n v="1"/>
    <n v="30"/>
    <n v="30"/>
    <x v="0"/>
    <n v="11.59"/>
    <x v="1"/>
    <x v="1"/>
    <x v="2"/>
    <n v="11.59"/>
    <n v="30"/>
    <n v="18.41"/>
  </r>
  <r>
    <x v="0"/>
    <n v="22895"/>
    <x v="38"/>
    <n v="109"/>
    <s v="North Georgia Consolidated Financial"/>
    <n v="4"/>
    <x v="0"/>
    <s v="A2117"/>
    <x v="12"/>
    <n v="1"/>
    <n v="60"/>
    <n v="60"/>
    <x v="0"/>
    <n v="17.22"/>
    <x v="1"/>
    <x v="1"/>
    <x v="2"/>
    <n v="17.22"/>
    <n v="60"/>
    <n v="42.78"/>
  </r>
  <r>
    <x v="0"/>
    <n v="22896"/>
    <x v="38"/>
    <n v="110"/>
    <s v="Gulf Coast Motors"/>
    <n v="1"/>
    <x v="0"/>
    <s v="C5113"/>
    <x v="19"/>
    <n v="10"/>
    <n v="100"/>
    <n v="100"/>
    <x v="1"/>
    <n v="27.17"/>
    <x v="0"/>
    <x v="4"/>
    <x v="0"/>
    <n v="271.70000000000005"/>
    <n v="1000"/>
    <n v="728.3"/>
  </r>
  <r>
    <x v="0"/>
    <n v="22896"/>
    <x v="38"/>
    <n v="110"/>
    <s v="Gulf Coast Motors"/>
    <n v="2"/>
    <x v="0"/>
    <s v="C5114"/>
    <x v="20"/>
    <n v="10"/>
    <n v="140"/>
    <n v="140"/>
    <x v="1"/>
    <n v="34.299999999999997"/>
    <x v="0"/>
    <x v="4"/>
    <x v="0"/>
    <n v="343"/>
    <n v="1400"/>
    <n v="1057"/>
  </r>
  <r>
    <x v="0"/>
    <n v="22896"/>
    <x v="38"/>
    <n v="110"/>
    <s v="Gulf Coast Motors"/>
    <n v="3"/>
    <x v="0"/>
    <s v="C5109"/>
    <x v="24"/>
    <n v="24"/>
    <n v="50"/>
    <n v="50"/>
    <x v="0"/>
    <n v="11.67"/>
    <x v="0"/>
    <x v="4"/>
    <x v="0"/>
    <n v="280.08"/>
    <n v="1200"/>
    <n v="919.92000000000007"/>
  </r>
  <r>
    <x v="0"/>
    <n v="22896"/>
    <x v="38"/>
    <n v="110"/>
    <s v="Gulf Coast Motors"/>
    <n v="4"/>
    <x v="0"/>
    <s v="C5103"/>
    <x v="2"/>
    <n v="24"/>
    <n v="30"/>
    <n v="30"/>
    <x v="0"/>
    <n v="6.9"/>
    <x v="0"/>
    <x v="4"/>
    <x v="0"/>
    <n v="165.60000000000002"/>
    <n v="720"/>
    <n v="554.4"/>
  </r>
  <r>
    <x v="0"/>
    <n v="22897"/>
    <x v="39"/>
    <n v="101"/>
    <s v="Johnson Auto Group"/>
    <n v="1"/>
    <x v="0"/>
    <s v="C5103"/>
    <x v="2"/>
    <n v="250"/>
    <n v="24"/>
    <n v="24"/>
    <x v="0"/>
    <n v="6.9"/>
    <x v="0"/>
    <x v="1"/>
    <x v="0"/>
    <n v="1725"/>
    <n v="6000"/>
    <n v="4275"/>
  </r>
  <r>
    <x v="0"/>
    <n v="22897"/>
    <x v="39"/>
    <n v="101"/>
    <s v="Johnson Auto Group"/>
    <n v="2"/>
    <x v="0"/>
    <s v="C5110"/>
    <x v="1"/>
    <n v="25"/>
    <n v="70"/>
    <n v="70"/>
    <x v="0"/>
    <n v="13.92"/>
    <x v="0"/>
    <x v="1"/>
    <x v="0"/>
    <n v="348"/>
    <n v="1750"/>
    <n v="1402"/>
  </r>
  <r>
    <x v="0"/>
    <n v="22898"/>
    <x v="39"/>
    <n v="103"/>
    <s v="Hardman Financial Management"/>
    <n v="1"/>
    <x v="0"/>
    <s v="C5110"/>
    <x v="1"/>
    <n v="4"/>
    <n v="70"/>
    <n v="70"/>
    <x v="0"/>
    <n v="13.92"/>
    <x v="1"/>
    <x v="3"/>
    <x v="0"/>
    <n v="55.68"/>
    <n v="280"/>
    <n v="224.32"/>
  </r>
  <r>
    <x v="0"/>
    <n v="22898"/>
    <x v="39"/>
    <n v="103"/>
    <s v="Hardman Financial Management"/>
    <n v="2"/>
    <x v="0"/>
    <s v="C5103"/>
    <x v="2"/>
    <n v="4"/>
    <n v="30"/>
    <n v="30"/>
    <x v="0"/>
    <n v="6.9"/>
    <x v="1"/>
    <x v="3"/>
    <x v="0"/>
    <n v="27.6"/>
    <n v="120"/>
    <n v="92.4"/>
  </r>
  <r>
    <x v="0"/>
    <n v="22899"/>
    <x v="39"/>
    <n v="105"/>
    <s v="Jackson Motors"/>
    <n v="1"/>
    <x v="0"/>
    <s v="C5103"/>
    <x v="2"/>
    <n v="120"/>
    <n v="24"/>
    <n v="24"/>
    <x v="0"/>
    <n v="6.9"/>
    <x v="0"/>
    <x v="5"/>
    <x v="0"/>
    <n v="828"/>
    <n v="2880"/>
    <n v="2052"/>
  </r>
  <r>
    <x v="0"/>
    <n v="22899"/>
    <x v="39"/>
    <n v="105"/>
    <s v="Jackson Motors"/>
    <n v="2"/>
    <x v="0"/>
    <s v="C5110"/>
    <x v="1"/>
    <n v="50"/>
    <n v="70"/>
    <n v="70"/>
    <x v="0"/>
    <n v="13.92"/>
    <x v="0"/>
    <x v="5"/>
    <x v="0"/>
    <n v="696"/>
    <n v="3500"/>
    <n v="2804"/>
  </r>
  <r>
    <x v="0"/>
    <n v="22900"/>
    <x v="39"/>
    <n v="106"/>
    <s v="JS Automotive"/>
    <n v="1"/>
    <x v="0"/>
    <s v="C5101"/>
    <x v="0"/>
    <n v="80"/>
    <n v="18"/>
    <n v="18"/>
    <x v="0"/>
    <n v="4.58"/>
    <x v="0"/>
    <x v="0"/>
    <x v="0"/>
    <n v="366.4"/>
    <n v="1440"/>
    <n v="1073.5999999999999"/>
  </r>
  <r>
    <x v="0"/>
    <n v="22900"/>
    <x v="39"/>
    <n v="106"/>
    <s v="JS Automotive"/>
    <n v="2"/>
    <x v="0"/>
    <s v="C5110"/>
    <x v="1"/>
    <n v="20"/>
    <n v="70"/>
    <n v="70"/>
    <x v="0"/>
    <n v="13.92"/>
    <x v="0"/>
    <x v="0"/>
    <x v="0"/>
    <n v="278.39999999999998"/>
    <n v="1400"/>
    <n v="1121.5999999999999"/>
  </r>
  <r>
    <x v="0"/>
    <n v="22901"/>
    <x v="39"/>
    <n v="107"/>
    <s v="Erwin Mortgage"/>
    <n v="1"/>
    <x v="0"/>
    <s v="C5103"/>
    <x v="2"/>
    <n v="10"/>
    <n v="30"/>
    <n v="30"/>
    <x v="0"/>
    <n v="6.9"/>
    <x v="1"/>
    <x v="1"/>
    <x v="0"/>
    <n v="69"/>
    <n v="300"/>
    <n v="231"/>
  </r>
  <r>
    <x v="0"/>
    <n v="22901"/>
    <x v="39"/>
    <n v="107"/>
    <s v="Erwin Mortgage"/>
    <n v="2"/>
    <x v="0"/>
    <s v="C5110"/>
    <x v="1"/>
    <n v="2"/>
    <n v="70"/>
    <n v="70"/>
    <x v="0"/>
    <n v="13.92"/>
    <x v="1"/>
    <x v="1"/>
    <x v="0"/>
    <n v="27.84"/>
    <n v="140"/>
    <n v="112.16"/>
  </r>
  <r>
    <x v="0"/>
    <n v="22902"/>
    <x v="39"/>
    <n v="108"/>
    <s v="O'Neil Motoring"/>
    <n v="1"/>
    <x v="0"/>
    <s v="C5113"/>
    <x v="19"/>
    <n v="20"/>
    <n v="100"/>
    <n v="100"/>
    <x v="1"/>
    <n v="27.17"/>
    <x v="1"/>
    <x v="3"/>
    <x v="0"/>
    <n v="543.40000000000009"/>
    <n v="2000"/>
    <n v="1456.6"/>
  </r>
  <r>
    <x v="0"/>
    <n v="22902"/>
    <x v="39"/>
    <n v="108"/>
    <s v="O'Neil Motoring"/>
    <n v="2"/>
    <x v="0"/>
    <s v="C5114"/>
    <x v="20"/>
    <n v="20"/>
    <n v="140"/>
    <n v="140"/>
    <x v="1"/>
    <n v="34.299999999999997"/>
    <x v="1"/>
    <x v="3"/>
    <x v="0"/>
    <n v="686"/>
    <n v="2800"/>
    <n v="2114"/>
  </r>
  <r>
    <x v="0"/>
    <n v="22902"/>
    <x v="39"/>
    <n v="108"/>
    <s v="O'Neil Motoring"/>
    <n v="3"/>
    <x v="0"/>
    <s v="C5108"/>
    <x v="16"/>
    <n v="100"/>
    <n v="19.200000000000003"/>
    <n v="19.200000000000003"/>
    <x v="0"/>
    <n v="7.09"/>
    <x v="1"/>
    <x v="3"/>
    <x v="0"/>
    <n v="709"/>
    <n v="1920.0000000000002"/>
    <n v="1211.0000000000002"/>
  </r>
  <r>
    <x v="0"/>
    <n v="22903"/>
    <x v="39"/>
    <n v="112"/>
    <s v="Macon Financial Title Company"/>
    <n v="1"/>
    <x v="0"/>
    <s v="C5110"/>
    <x v="1"/>
    <n v="5"/>
    <n v="70"/>
    <n v="70"/>
    <x v="0"/>
    <n v="13.92"/>
    <x v="1"/>
    <x v="1"/>
    <x v="0"/>
    <n v="69.599999999999994"/>
    <n v="350"/>
    <n v="280.39999999999998"/>
  </r>
  <r>
    <x v="0"/>
    <n v="22903"/>
    <x v="39"/>
    <n v="112"/>
    <s v="Macon Financial Title Company"/>
    <n v="2"/>
    <x v="0"/>
    <s v="C5103"/>
    <x v="2"/>
    <n v="5"/>
    <n v="30"/>
    <n v="30"/>
    <x v="0"/>
    <n v="6.9"/>
    <x v="1"/>
    <x v="1"/>
    <x v="0"/>
    <n v="34.5"/>
    <n v="150"/>
    <n v="115.5"/>
  </r>
  <r>
    <x v="0"/>
    <n v="22903"/>
    <x v="39"/>
    <n v="112"/>
    <s v="Macon Financial Title Company"/>
    <n v="3"/>
    <x v="0"/>
    <s v="A2118"/>
    <x v="7"/>
    <n v="1"/>
    <n v="250"/>
    <n v="250"/>
    <x v="1"/>
    <n v="89.7"/>
    <x v="1"/>
    <x v="1"/>
    <x v="2"/>
    <n v="89.7"/>
    <n v="250"/>
    <n v="160.30000000000001"/>
  </r>
  <r>
    <x v="0"/>
    <n v="22904"/>
    <x v="39"/>
    <n v="113"/>
    <s v="Jefferson Mortgage"/>
    <n v="1"/>
    <x v="0"/>
    <s v="C5103"/>
    <x v="2"/>
    <n v="250"/>
    <n v="24"/>
    <n v="24"/>
    <x v="0"/>
    <n v="6.9"/>
    <x v="1"/>
    <x v="1"/>
    <x v="0"/>
    <n v="1725"/>
    <n v="6000"/>
    <n v="4275"/>
  </r>
  <r>
    <x v="0"/>
    <n v="22904"/>
    <x v="39"/>
    <n v="113"/>
    <s v="Jefferson Mortgage"/>
    <n v="2"/>
    <x v="0"/>
    <s v="C5110"/>
    <x v="1"/>
    <n v="50"/>
    <n v="70"/>
    <n v="70"/>
    <x v="0"/>
    <n v="13.92"/>
    <x v="1"/>
    <x v="1"/>
    <x v="0"/>
    <n v="696"/>
    <n v="3500"/>
    <n v="2804"/>
  </r>
  <r>
    <x v="0"/>
    <n v="22905"/>
    <x v="39"/>
    <n v="114"/>
    <s v="Godderis Automotive Group"/>
    <n v="1"/>
    <x v="0"/>
    <s v="C5113"/>
    <x v="19"/>
    <n v="8"/>
    <n v="100"/>
    <n v="100"/>
    <x v="1"/>
    <n v="27.17"/>
    <x v="0"/>
    <x v="2"/>
    <x v="0"/>
    <n v="217.36"/>
    <n v="800"/>
    <n v="582.64"/>
  </r>
  <r>
    <x v="0"/>
    <n v="22905"/>
    <x v="39"/>
    <n v="114"/>
    <s v="Godderis Automotive Group"/>
    <n v="2"/>
    <x v="0"/>
    <s v="C5114"/>
    <x v="20"/>
    <n v="6"/>
    <n v="140"/>
    <n v="140"/>
    <x v="1"/>
    <n v="34.299999999999997"/>
    <x v="0"/>
    <x v="2"/>
    <x v="0"/>
    <n v="205.79999999999998"/>
    <n v="840"/>
    <n v="634.20000000000005"/>
  </r>
  <r>
    <x v="0"/>
    <n v="22905"/>
    <x v="39"/>
    <n v="114"/>
    <s v="Godderis Automotive Group"/>
    <n v="3"/>
    <x v="0"/>
    <s v="C5106"/>
    <x v="21"/>
    <n v="15"/>
    <n v="25"/>
    <n v="25"/>
    <x v="0"/>
    <n v="5.16"/>
    <x v="0"/>
    <x v="2"/>
    <x v="0"/>
    <n v="77.400000000000006"/>
    <n v="375"/>
    <n v="297.60000000000002"/>
  </r>
  <r>
    <x v="0"/>
    <n v="22905"/>
    <x v="39"/>
    <n v="114"/>
    <s v="Godderis Automotive Group"/>
    <n v="4"/>
    <x v="0"/>
    <s v="C5108"/>
    <x v="16"/>
    <n v="22"/>
    <n v="24"/>
    <n v="24"/>
    <x v="0"/>
    <n v="7.09"/>
    <x v="0"/>
    <x v="2"/>
    <x v="0"/>
    <n v="155.97999999999999"/>
    <n v="528"/>
    <n v="372.02"/>
  </r>
  <r>
    <x v="0"/>
    <n v="22906"/>
    <x v="39"/>
    <n v="116"/>
    <s v="McAndrews Automotive"/>
    <n v="1"/>
    <x v="0"/>
    <s v="C5103"/>
    <x v="2"/>
    <n v="50"/>
    <n v="30"/>
    <n v="30"/>
    <x v="0"/>
    <n v="6.9"/>
    <x v="0"/>
    <x v="0"/>
    <x v="0"/>
    <n v="345"/>
    <n v="1500"/>
    <n v="1155"/>
  </r>
  <r>
    <x v="0"/>
    <n v="22906"/>
    <x v="39"/>
    <n v="116"/>
    <s v="McAndrews Automotive"/>
    <n v="2"/>
    <x v="0"/>
    <s v="C5110"/>
    <x v="1"/>
    <n v="20"/>
    <n v="70"/>
    <n v="70"/>
    <x v="0"/>
    <n v="13.92"/>
    <x v="0"/>
    <x v="0"/>
    <x v="0"/>
    <n v="278.39999999999998"/>
    <n v="1400"/>
    <n v="1121.5999999999999"/>
  </r>
  <r>
    <x v="0"/>
    <n v="22907"/>
    <x v="39"/>
    <n v="117"/>
    <s v="Sullivan Motors"/>
    <n v="1"/>
    <x v="0"/>
    <s v="C5110"/>
    <x v="1"/>
    <n v="12"/>
    <n v="70"/>
    <n v="70"/>
    <x v="0"/>
    <n v="13.92"/>
    <x v="0"/>
    <x v="1"/>
    <x v="0"/>
    <n v="167.04"/>
    <n v="840"/>
    <n v="672.96"/>
  </r>
  <r>
    <x v="0"/>
    <n v="22907"/>
    <x v="39"/>
    <n v="117"/>
    <s v="Sullivan Motors"/>
    <n v="2"/>
    <x v="0"/>
    <s v="C5103"/>
    <x v="2"/>
    <n v="12"/>
    <n v="30"/>
    <n v="30"/>
    <x v="0"/>
    <n v="6.9"/>
    <x v="0"/>
    <x v="1"/>
    <x v="0"/>
    <n v="82.800000000000011"/>
    <n v="360"/>
    <n v="277.2"/>
  </r>
  <r>
    <x v="0"/>
    <n v="22907"/>
    <x v="39"/>
    <n v="117"/>
    <s v="Sullivan Motors"/>
    <n v="3"/>
    <x v="0"/>
    <s v="A2118"/>
    <x v="7"/>
    <n v="1"/>
    <n v="250"/>
    <n v="250"/>
    <x v="1"/>
    <n v="89.7"/>
    <x v="0"/>
    <x v="1"/>
    <x v="2"/>
    <n v="89.7"/>
    <n v="250"/>
    <n v="160.30000000000001"/>
  </r>
  <r>
    <x v="0"/>
    <n v="22908"/>
    <x v="39"/>
    <n v="118"/>
    <s v="First Trust Financial"/>
    <n v="1"/>
    <x v="0"/>
    <s v="C5110"/>
    <x v="1"/>
    <n v="10"/>
    <n v="70"/>
    <n v="70"/>
    <x v="0"/>
    <n v="13.92"/>
    <x v="1"/>
    <x v="1"/>
    <x v="0"/>
    <n v="139.19999999999999"/>
    <n v="700"/>
    <n v="560.79999999999995"/>
  </r>
  <r>
    <x v="0"/>
    <n v="22908"/>
    <x v="39"/>
    <n v="118"/>
    <s v="First Trust Financial"/>
    <n v="2"/>
    <x v="0"/>
    <s v="C5103"/>
    <x v="2"/>
    <n v="20"/>
    <n v="30"/>
    <n v="30"/>
    <x v="0"/>
    <n v="6.9"/>
    <x v="1"/>
    <x v="1"/>
    <x v="0"/>
    <n v="138"/>
    <n v="600"/>
    <n v="462"/>
  </r>
  <r>
    <x v="0"/>
    <n v="22909"/>
    <x v="39"/>
    <n v="119"/>
    <s v="Federal Tech Mortgage Brokers"/>
    <n v="1"/>
    <x v="0"/>
    <s v="C5113"/>
    <x v="19"/>
    <n v="5"/>
    <n v="100"/>
    <n v="100"/>
    <x v="1"/>
    <n v="27.17"/>
    <x v="1"/>
    <x v="1"/>
    <x v="0"/>
    <n v="135.85000000000002"/>
    <n v="500"/>
    <n v="364.15"/>
  </r>
  <r>
    <x v="0"/>
    <n v="22909"/>
    <x v="39"/>
    <n v="119"/>
    <s v="Federal Tech Mortgage Brokers"/>
    <n v="2"/>
    <x v="0"/>
    <s v="C5114"/>
    <x v="20"/>
    <n v="5"/>
    <n v="140"/>
    <n v="140"/>
    <x v="1"/>
    <n v="34.299999999999997"/>
    <x v="1"/>
    <x v="1"/>
    <x v="0"/>
    <n v="171.5"/>
    <n v="700"/>
    <n v="528.5"/>
  </r>
  <r>
    <x v="0"/>
    <n v="22909"/>
    <x v="39"/>
    <n v="119"/>
    <s v="Federal Tech Mortgage Brokers"/>
    <n v="3"/>
    <x v="0"/>
    <s v="C5106"/>
    <x v="21"/>
    <n v="50"/>
    <n v="25"/>
    <n v="25"/>
    <x v="0"/>
    <n v="5.16"/>
    <x v="1"/>
    <x v="1"/>
    <x v="0"/>
    <n v="258"/>
    <n v="1250"/>
    <n v="992"/>
  </r>
  <r>
    <x v="0"/>
    <n v="22909"/>
    <x v="39"/>
    <n v="119"/>
    <s v="Federal Tech Mortgage Brokers"/>
    <n v="4"/>
    <x v="0"/>
    <s v="C5108"/>
    <x v="16"/>
    <n v="50"/>
    <n v="24"/>
    <n v="24"/>
    <x v="0"/>
    <n v="7.09"/>
    <x v="1"/>
    <x v="1"/>
    <x v="0"/>
    <n v="354.5"/>
    <n v="1200"/>
    <n v="845.5"/>
  </r>
  <r>
    <x v="0"/>
    <n v="22910"/>
    <x v="40"/>
    <n v="102"/>
    <s v="McKesson Auto Group"/>
    <n v="1"/>
    <x v="0"/>
    <s v="P1309"/>
    <x v="28"/>
    <n v="3"/>
    <n v="2100"/>
    <n v="2100"/>
    <x v="1"/>
    <n v="1155.3699999999999"/>
    <x v="0"/>
    <x v="1"/>
    <x v="1"/>
    <n v="3466.1099999999997"/>
    <n v="6300"/>
    <n v="2833.8900000000003"/>
  </r>
  <r>
    <x v="0"/>
    <n v="22910"/>
    <x v="40"/>
    <n v="102"/>
    <s v="McKesson Auto Group"/>
    <n v="2"/>
    <x v="0"/>
    <s v="A2111"/>
    <x v="18"/>
    <n v="3"/>
    <n v="30"/>
    <n v="30"/>
    <x v="0"/>
    <n v="6.3"/>
    <x v="0"/>
    <x v="1"/>
    <x v="2"/>
    <n v="18.899999999999999"/>
    <n v="90"/>
    <n v="71.099999999999994"/>
  </r>
  <r>
    <x v="0"/>
    <n v="22910"/>
    <x v="40"/>
    <n v="102"/>
    <s v="McKesson Auto Group"/>
    <n v="3"/>
    <x v="0"/>
    <s v="A2114"/>
    <x v="10"/>
    <n v="3"/>
    <n v="30"/>
    <n v="30"/>
    <x v="0"/>
    <n v="11.59"/>
    <x v="0"/>
    <x v="1"/>
    <x v="2"/>
    <n v="34.769999999999996"/>
    <n v="90"/>
    <n v="55.230000000000004"/>
  </r>
  <r>
    <x v="0"/>
    <n v="22910"/>
    <x v="40"/>
    <n v="102"/>
    <s v="McKesson Auto Group"/>
    <n v="4"/>
    <x v="0"/>
    <s v="A2117"/>
    <x v="12"/>
    <n v="3"/>
    <n v="60"/>
    <n v="60"/>
    <x v="0"/>
    <n v="17.22"/>
    <x v="0"/>
    <x v="1"/>
    <x v="2"/>
    <n v="51.66"/>
    <n v="180"/>
    <n v="128.34"/>
  </r>
  <r>
    <x v="0"/>
    <n v="22910"/>
    <x v="40"/>
    <n v="102"/>
    <s v="McKesson Auto Group"/>
    <n v="5"/>
    <x v="0"/>
    <s v="A2119"/>
    <x v="29"/>
    <n v="1"/>
    <n v="250"/>
    <n v="250"/>
    <x v="1"/>
    <n v="93.81"/>
    <x v="0"/>
    <x v="1"/>
    <x v="2"/>
    <n v="93.81"/>
    <n v="250"/>
    <n v="156.19"/>
  </r>
  <r>
    <x v="0"/>
    <n v="22911"/>
    <x v="41"/>
    <n v="110"/>
    <s v="Gulf Coast Motors"/>
    <n v="1"/>
    <x v="0"/>
    <s v="C5113"/>
    <x v="19"/>
    <n v="10"/>
    <n v="100"/>
    <n v="100"/>
    <x v="1"/>
    <n v="27.17"/>
    <x v="0"/>
    <x v="4"/>
    <x v="0"/>
    <n v="271.70000000000005"/>
    <n v="1000"/>
    <n v="728.3"/>
  </r>
  <r>
    <x v="0"/>
    <n v="22911"/>
    <x v="41"/>
    <n v="110"/>
    <s v="Gulf Coast Motors"/>
    <n v="2"/>
    <x v="0"/>
    <s v="C5114"/>
    <x v="20"/>
    <n v="10"/>
    <n v="140"/>
    <n v="140"/>
    <x v="1"/>
    <n v="34.299999999999997"/>
    <x v="0"/>
    <x v="4"/>
    <x v="0"/>
    <n v="343"/>
    <n v="1400"/>
    <n v="1057"/>
  </r>
  <r>
    <x v="0"/>
    <n v="22911"/>
    <x v="41"/>
    <n v="110"/>
    <s v="Gulf Coast Motors"/>
    <n v="3"/>
    <x v="0"/>
    <s v="C5109"/>
    <x v="24"/>
    <n v="24"/>
    <n v="50"/>
    <n v="50"/>
    <x v="0"/>
    <n v="11.67"/>
    <x v="0"/>
    <x v="4"/>
    <x v="0"/>
    <n v="280.08"/>
    <n v="1200"/>
    <n v="919.92000000000007"/>
  </r>
  <r>
    <x v="0"/>
    <n v="22911"/>
    <x v="41"/>
    <n v="110"/>
    <s v="Gulf Coast Motors"/>
    <n v="4"/>
    <x v="0"/>
    <s v="C5103"/>
    <x v="2"/>
    <n v="24"/>
    <n v="30"/>
    <n v="30"/>
    <x v="0"/>
    <n v="6.9"/>
    <x v="0"/>
    <x v="4"/>
    <x v="0"/>
    <n v="165.60000000000002"/>
    <n v="720"/>
    <n v="554.4"/>
  </r>
  <r>
    <x v="1"/>
    <n v="22912"/>
    <x v="41"/>
    <n v="101"/>
    <s v="Johnson Auto Group"/>
    <n v="1"/>
    <x v="3"/>
    <s v="A2118"/>
    <x v="7"/>
    <n v="1"/>
    <n v="250"/>
    <n v="-250"/>
    <x v="3"/>
    <n v="89.7"/>
    <x v="0"/>
    <x v="1"/>
    <x v="2"/>
    <n v="89.7"/>
    <n v="-250"/>
    <n v="-339.7"/>
  </r>
  <r>
    <x v="0"/>
    <n v="22913"/>
    <x v="42"/>
    <n v="106"/>
    <s v="JS Automotive"/>
    <n v="1"/>
    <x v="0"/>
    <s v="P1105"/>
    <x v="8"/>
    <n v="1"/>
    <n v="1500"/>
    <n v="1500"/>
    <x v="1"/>
    <n v="899.1"/>
    <x v="0"/>
    <x v="0"/>
    <x v="1"/>
    <n v="899.1"/>
    <n v="1500"/>
    <n v="600.9"/>
  </r>
  <r>
    <x v="0"/>
    <n v="22914"/>
    <x v="42"/>
    <n v="119"/>
    <s v="Federal Tech Mortgage Brokers"/>
    <n v="1"/>
    <x v="0"/>
    <s v="P1311"/>
    <x v="17"/>
    <n v="1"/>
    <n v="2700"/>
    <n v="2700"/>
    <x v="1"/>
    <n v="1440.45"/>
    <x v="1"/>
    <x v="1"/>
    <x v="1"/>
    <n v="1440.45"/>
    <n v="2700"/>
    <n v="1259.55"/>
  </r>
  <r>
    <x v="0"/>
    <n v="22914"/>
    <x v="42"/>
    <n v="119"/>
    <s v="Federal Tech Mortgage Brokers"/>
    <n v="2"/>
    <x v="0"/>
    <s v="A2111"/>
    <x v="18"/>
    <n v="1"/>
    <n v="30"/>
    <n v="30"/>
    <x v="0"/>
    <n v="6.3"/>
    <x v="1"/>
    <x v="1"/>
    <x v="2"/>
    <n v="6.3"/>
    <n v="30"/>
    <n v="23.7"/>
  </r>
  <r>
    <x v="0"/>
    <n v="22914"/>
    <x v="42"/>
    <n v="119"/>
    <s v="Federal Tech Mortgage Brokers"/>
    <n v="3"/>
    <x v="0"/>
    <s v="A2114"/>
    <x v="10"/>
    <n v="1"/>
    <n v="30"/>
    <n v="30"/>
    <x v="0"/>
    <n v="11.59"/>
    <x v="1"/>
    <x v="1"/>
    <x v="2"/>
    <n v="11.59"/>
    <n v="30"/>
    <n v="18.41"/>
  </r>
  <r>
    <x v="0"/>
    <n v="22914"/>
    <x v="42"/>
    <n v="119"/>
    <s v="Federal Tech Mortgage Brokers"/>
    <n v="4"/>
    <x v="0"/>
    <s v="A2117"/>
    <x v="12"/>
    <n v="1"/>
    <n v="60"/>
    <n v="60"/>
    <x v="0"/>
    <n v="17.22"/>
    <x v="1"/>
    <x v="1"/>
    <x v="2"/>
    <n v="17.22"/>
    <n v="60"/>
    <n v="42.78"/>
  </r>
  <r>
    <x v="0"/>
    <n v="22915"/>
    <x v="43"/>
    <n v="111"/>
    <s v="Birmingham Automotive Group"/>
    <n v="1"/>
    <x v="0"/>
    <s v="C5111"/>
    <x v="30"/>
    <n v="20"/>
    <n v="40"/>
    <n v="40"/>
    <x v="0"/>
    <n v="5.4"/>
    <x v="0"/>
    <x v="4"/>
    <x v="0"/>
    <n v="108"/>
    <n v="800"/>
    <n v="692"/>
  </r>
  <r>
    <x v="0"/>
    <n v="22915"/>
    <x v="43"/>
    <n v="111"/>
    <s v="Birmingham Automotive Group"/>
    <n v="2"/>
    <x v="0"/>
    <s v="C5112"/>
    <x v="31"/>
    <n v="20"/>
    <n v="70"/>
    <n v="70"/>
    <x v="0"/>
    <n v="8.3699999999999992"/>
    <x v="0"/>
    <x v="4"/>
    <x v="0"/>
    <n v="167.39999999999998"/>
    <n v="1400"/>
    <n v="1232.5999999999999"/>
  </r>
  <r>
    <x v="1"/>
    <n v="22916"/>
    <x v="43"/>
    <n v="119"/>
    <s v="Federal Tech Mortgage Brokers"/>
    <n v="1"/>
    <x v="4"/>
    <s v="P1311"/>
    <x v="17"/>
    <n v="1"/>
    <n v="2700"/>
    <n v="-2700"/>
    <x v="3"/>
    <n v="1440.45"/>
    <x v="1"/>
    <x v="1"/>
    <x v="1"/>
    <n v="1440.45"/>
    <n v="-2700"/>
    <n v="-4140.45"/>
  </r>
  <r>
    <x v="0"/>
    <n v="22917"/>
    <x v="43"/>
    <n v="119"/>
    <s v="Federal Tech Mortgage Brokers"/>
    <n v="1"/>
    <x v="0"/>
    <s v="P1311"/>
    <x v="17"/>
    <n v="1"/>
    <n v="2700"/>
    <n v="2700"/>
    <x v="1"/>
    <n v="1440.45"/>
    <x v="1"/>
    <x v="1"/>
    <x v="1"/>
    <n v="1440.45"/>
    <n v="2700"/>
    <n v="1259.55"/>
  </r>
  <r>
    <x v="0"/>
    <n v="22918"/>
    <x v="44"/>
    <n v="101"/>
    <s v="Johnson Auto Group"/>
    <n v="1"/>
    <x v="0"/>
    <s v="C5103"/>
    <x v="2"/>
    <n v="250"/>
    <n v="24"/>
    <n v="24"/>
    <x v="0"/>
    <n v="6.9"/>
    <x v="0"/>
    <x v="1"/>
    <x v="0"/>
    <n v="1725"/>
    <n v="6000"/>
    <n v="4275"/>
  </r>
  <r>
    <x v="0"/>
    <n v="22918"/>
    <x v="44"/>
    <n v="101"/>
    <s v="Johnson Auto Group"/>
    <n v="2"/>
    <x v="0"/>
    <s v="C5110"/>
    <x v="1"/>
    <n v="25"/>
    <n v="70"/>
    <n v="70"/>
    <x v="0"/>
    <n v="13.92"/>
    <x v="0"/>
    <x v="1"/>
    <x v="0"/>
    <n v="348"/>
    <n v="1750"/>
    <n v="1402"/>
  </r>
  <r>
    <x v="0"/>
    <n v="22919"/>
    <x v="44"/>
    <n v="102"/>
    <s v="McKesson Auto Group"/>
    <n v="1"/>
    <x v="0"/>
    <s v="C5102"/>
    <x v="13"/>
    <n v="40"/>
    <n v="35"/>
    <n v="35"/>
    <x v="0"/>
    <n v="6.37"/>
    <x v="0"/>
    <x v="1"/>
    <x v="0"/>
    <n v="254.8"/>
    <n v="1400"/>
    <n v="1145.2"/>
  </r>
  <r>
    <x v="0"/>
    <n v="22920"/>
    <x v="44"/>
    <n v="102"/>
    <s v="McKesson Auto Group"/>
    <n v="1"/>
    <x v="0"/>
    <s v="C5110"/>
    <x v="1"/>
    <n v="5"/>
    <n v="70"/>
    <n v="70"/>
    <x v="0"/>
    <n v="13.92"/>
    <x v="0"/>
    <x v="1"/>
    <x v="0"/>
    <n v="69.599999999999994"/>
    <n v="350"/>
    <n v="280.39999999999998"/>
  </r>
  <r>
    <x v="0"/>
    <n v="22921"/>
    <x v="44"/>
    <n v="105"/>
    <s v="Jackson Motors"/>
    <n v="1"/>
    <x v="0"/>
    <s v="C5103"/>
    <x v="2"/>
    <n v="120"/>
    <n v="24"/>
    <n v="24"/>
    <x v="0"/>
    <n v="6.9"/>
    <x v="0"/>
    <x v="5"/>
    <x v="0"/>
    <n v="828"/>
    <n v="2880"/>
    <n v="2052"/>
  </r>
  <r>
    <x v="0"/>
    <n v="22921"/>
    <x v="44"/>
    <n v="105"/>
    <s v="Jackson Motors"/>
    <n v="2"/>
    <x v="0"/>
    <s v="C5110"/>
    <x v="1"/>
    <n v="50"/>
    <n v="70"/>
    <n v="70"/>
    <x v="0"/>
    <n v="13.92"/>
    <x v="0"/>
    <x v="5"/>
    <x v="0"/>
    <n v="696"/>
    <n v="3500"/>
    <n v="2804"/>
  </r>
  <r>
    <x v="0"/>
    <n v="22922"/>
    <x v="44"/>
    <n v="106"/>
    <s v="JS Automotive"/>
    <n v="1"/>
    <x v="0"/>
    <s v="C5101"/>
    <x v="0"/>
    <n v="80"/>
    <n v="18"/>
    <n v="18"/>
    <x v="0"/>
    <n v="4.58"/>
    <x v="0"/>
    <x v="0"/>
    <x v="0"/>
    <n v="366.4"/>
    <n v="1440"/>
    <n v="1073.5999999999999"/>
  </r>
  <r>
    <x v="0"/>
    <n v="22922"/>
    <x v="44"/>
    <n v="106"/>
    <s v="JS Automotive"/>
    <n v="2"/>
    <x v="0"/>
    <s v="C5110"/>
    <x v="1"/>
    <n v="20"/>
    <n v="70"/>
    <n v="70"/>
    <x v="0"/>
    <n v="13.92"/>
    <x v="0"/>
    <x v="0"/>
    <x v="0"/>
    <n v="278.39999999999998"/>
    <n v="1400"/>
    <n v="1121.5999999999999"/>
  </r>
  <r>
    <x v="0"/>
    <n v="22923"/>
    <x v="44"/>
    <n v="107"/>
    <s v="Erwin Mortgage"/>
    <n v="1"/>
    <x v="0"/>
    <s v="C5103"/>
    <x v="2"/>
    <n v="10"/>
    <n v="30"/>
    <n v="30"/>
    <x v="0"/>
    <n v="6.9"/>
    <x v="1"/>
    <x v="1"/>
    <x v="0"/>
    <n v="69"/>
    <n v="300"/>
    <n v="231"/>
  </r>
  <r>
    <x v="0"/>
    <n v="22924"/>
    <x v="44"/>
    <n v="107"/>
    <s v="Erwin Mortgage"/>
    <n v="1"/>
    <x v="0"/>
    <s v="C5113"/>
    <x v="19"/>
    <n v="1"/>
    <n v="100"/>
    <n v="100"/>
    <x v="1"/>
    <n v="27.17"/>
    <x v="1"/>
    <x v="1"/>
    <x v="0"/>
    <n v="27.17"/>
    <n v="100"/>
    <n v="72.83"/>
  </r>
  <r>
    <x v="0"/>
    <n v="22924"/>
    <x v="44"/>
    <n v="107"/>
    <s v="Erwin Mortgage"/>
    <n v="2"/>
    <x v="0"/>
    <s v="C5110"/>
    <x v="1"/>
    <n v="2"/>
    <n v="70"/>
    <n v="70"/>
    <x v="0"/>
    <n v="13.92"/>
    <x v="1"/>
    <x v="1"/>
    <x v="0"/>
    <n v="27.84"/>
    <n v="140"/>
    <n v="112.16"/>
  </r>
  <r>
    <x v="0"/>
    <n v="22924"/>
    <x v="44"/>
    <n v="107"/>
    <s v="Erwin Mortgage"/>
    <n v="2"/>
    <x v="0"/>
    <s v="C5114"/>
    <x v="20"/>
    <n v="1"/>
    <n v="140"/>
    <n v="140"/>
    <x v="1"/>
    <n v="34.299999999999997"/>
    <x v="1"/>
    <x v="1"/>
    <x v="0"/>
    <n v="34.299999999999997"/>
    <n v="140"/>
    <n v="105.7"/>
  </r>
  <r>
    <x v="0"/>
    <n v="22925"/>
    <x v="44"/>
    <n v="112"/>
    <s v="Macon Financial Title Company"/>
    <n v="1"/>
    <x v="0"/>
    <s v="C5110"/>
    <x v="1"/>
    <n v="5"/>
    <n v="70"/>
    <n v="70"/>
    <x v="0"/>
    <n v="13.92"/>
    <x v="1"/>
    <x v="1"/>
    <x v="0"/>
    <n v="69.599999999999994"/>
    <n v="350"/>
    <n v="280.39999999999998"/>
  </r>
  <r>
    <x v="0"/>
    <n v="22925"/>
    <x v="44"/>
    <n v="112"/>
    <s v="Macon Financial Title Company"/>
    <n v="2"/>
    <x v="0"/>
    <s v="C5103"/>
    <x v="2"/>
    <n v="5"/>
    <n v="30"/>
    <n v="30"/>
    <x v="0"/>
    <n v="6.9"/>
    <x v="1"/>
    <x v="1"/>
    <x v="0"/>
    <n v="34.5"/>
    <n v="150"/>
    <n v="115.5"/>
  </r>
  <r>
    <x v="0"/>
    <n v="22926"/>
    <x v="44"/>
    <n v="113"/>
    <s v="Jefferson Mortgage"/>
    <n v="1"/>
    <x v="0"/>
    <s v="C5103"/>
    <x v="2"/>
    <n v="250"/>
    <n v="24"/>
    <n v="24"/>
    <x v="0"/>
    <n v="6.9"/>
    <x v="1"/>
    <x v="1"/>
    <x v="0"/>
    <n v="1725"/>
    <n v="6000"/>
    <n v="4275"/>
  </r>
  <r>
    <x v="0"/>
    <n v="22926"/>
    <x v="44"/>
    <n v="113"/>
    <s v="Jefferson Mortgage"/>
    <n v="2"/>
    <x v="0"/>
    <s v="C5110"/>
    <x v="1"/>
    <n v="50"/>
    <n v="70"/>
    <n v="70"/>
    <x v="0"/>
    <n v="13.92"/>
    <x v="1"/>
    <x v="1"/>
    <x v="0"/>
    <n v="696"/>
    <n v="3500"/>
    <n v="2804"/>
  </r>
  <r>
    <x v="0"/>
    <n v="22927"/>
    <x v="44"/>
    <n v="114"/>
    <s v="Godderis Automotive Group"/>
    <n v="1"/>
    <x v="0"/>
    <s v="C5113"/>
    <x v="19"/>
    <n v="9"/>
    <n v="100"/>
    <n v="100"/>
    <x v="1"/>
    <n v="27.17"/>
    <x v="0"/>
    <x v="2"/>
    <x v="0"/>
    <n v="244.53000000000003"/>
    <n v="900"/>
    <n v="655.47"/>
  </r>
  <r>
    <x v="0"/>
    <n v="22927"/>
    <x v="44"/>
    <n v="114"/>
    <s v="Godderis Automotive Group"/>
    <n v="2"/>
    <x v="0"/>
    <s v="C5114"/>
    <x v="20"/>
    <n v="7"/>
    <n v="140"/>
    <n v="140"/>
    <x v="1"/>
    <n v="34.299999999999997"/>
    <x v="0"/>
    <x v="2"/>
    <x v="0"/>
    <n v="240.09999999999997"/>
    <n v="980"/>
    <n v="739.90000000000009"/>
  </r>
  <r>
    <x v="0"/>
    <n v="22927"/>
    <x v="44"/>
    <n v="114"/>
    <s v="Godderis Automotive Group"/>
    <n v="3"/>
    <x v="0"/>
    <s v="C5106"/>
    <x v="21"/>
    <n v="14"/>
    <n v="25"/>
    <n v="25"/>
    <x v="0"/>
    <n v="5.16"/>
    <x v="0"/>
    <x v="2"/>
    <x v="0"/>
    <n v="72.240000000000009"/>
    <n v="350"/>
    <n v="277.76"/>
  </r>
  <r>
    <x v="0"/>
    <n v="22927"/>
    <x v="44"/>
    <n v="114"/>
    <s v="Godderis Automotive Group"/>
    <n v="4"/>
    <x v="0"/>
    <s v="C5108"/>
    <x v="16"/>
    <n v="23"/>
    <n v="24"/>
    <n v="24"/>
    <x v="0"/>
    <n v="7.09"/>
    <x v="0"/>
    <x v="2"/>
    <x v="0"/>
    <n v="163.07"/>
    <n v="552"/>
    <n v="388.93"/>
  </r>
  <r>
    <x v="0"/>
    <n v="22928"/>
    <x v="44"/>
    <n v="115"/>
    <s v="Briggs Motoring Company"/>
    <n v="1"/>
    <x v="0"/>
    <s v="C5102"/>
    <x v="13"/>
    <n v="20"/>
    <n v="35"/>
    <n v="35"/>
    <x v="0"/>
    <n v="6.37"/>
    <x v="0"/>
    <x v="0"/>
    <x v="0"/>
    <n v="127.4"/>
    <n v="700"/>
    <n v="572.6"/>
  </r>
  <r>
    <x v="0"/>
    <n v="22928"/>
    <x v="44"/>
    <n v="115"/>
    <s v="Briggs Motoring Company"/>
    <n v="2"/>
    <x v="0"/>
    <s v="C5110"/>
    <x v="1"/>
    <n v="3"/>
    <n v="70"/>
    <n v="70"/>
    <x v="0"/>
    <n v="13.92"/>
    <x v="0"/>
    <x v="0"/>
    <x v="0"/>
    <n v="41.76"/>
    <n v="210"/>
    <n v="168.24"/>
  </r>
  <r>
    <x v="0"/>
    <n v="22929"/>
    <x v="44"/>
    <n v="116"/>
    <s v="McAndrews Automotive"/>
    <n v="1"/>
    <x v="0"/>
    <s v="C5103"/>
    <x v="2"/>
    <n v="50"/>
    <n v="30"/>
    <n v="30"/>
    <x v="0"/>
    <n v="6.9"/>
    <x v="0"/>
    <x v="0"/>
    <x v="0"/>
    <n v="345"/>
    <n v="1500"/>
    <n v="1155"/>
  </r>
  <r>
    <x v="0"/>
    <n v="22929"/>
    <x v="44"/>
    <n v="116"/>
    <s v="McAndrews Automotive"/>
    <n v="2"/>
    <x v="0"/>
    <s v="C5110"/>
    <x v="1"/>
    <n v="20"/>
    <n v="70"/>
    <n v="70"/>
    <x v="0"/>
    <n v="13.92"/>
    <x v="0"/>
    <x v="0"/>
    <x v="0"/>
    <n v="278.39999999999998"/>
    <n v="1400"/>
    <n v="1121.5999999999999"/>
  </r>
  <r>
    <x v="0"/>
    <n v="22930"/>
    <x v="44"/>
    <n v="117"/>
    <s v="Sullivan Motors"/>
    <n v="1"/>
    <x v="0"/>
    <s v="C5110"/>
    <x v="1"/>
    <n v="12"/>
    <n v="70"/>
    <n v="70"/>
    <x v="0"/>
    <n v="13.92"/>
    <x v="0"/>
    <x v="1"/>
    <x v="0"/>
    <n v="167.04"/>
    <n v="840"/>
    <n v="672.96"/>
  </r>
  <r>
    <x v="0"/>
    <n v="22930"/>
    <x v="44"/>
    <n v="117"/>
    <s v="Sullivan Motors"/>
    <n v="2"/>
    <x v="0"/>
    <s v="C5103"/>
    <x v="2"/>
    <n v="12"/>
    <n v="30"/>
    <n v="30"/>
    <x v="0"/>
    <n v="6.9"/>
    <x v="0"/>
    <x v="1"/>
    <x v="0"/>
    <n v="82.800000000000011"/>
    <n v="360"/>
    <n v="277.2"/>
  </r>
  <r>
    <x v="0"/>
    <n v="22931"/>
    <x v="44"/>
    <n v="119"/>
    <s v="Federal Tech Mortgage Brokers"/>
    <n v="1"/>
    <x v="0"/>
    <s v="C5113"/>
    <x v="19"/>
    <n v="5"/>
    <n v="100"/>
    <n v="100"/>
    <x v="1"/>
    <n v="27.17"/>
    <x v="1"/>
    <x v="1"/>
    <x v="0"/>
    <n v="135.85000000000002"/>
    <n v="500"/>
    <n v="364.15"/>
  </r>
  <r>
    <x v="0"/>
    <n v="22931"/>
    <x v="44"/>
    <n v="119"/>
    <s v="Federal Tech Mortgage Brokers"/>
    <n v="2"/>
    <x v="0"/>
    <s v="C5114"/>
    <x v="20"/>
    <n v="5"/>
    <n v="140"/>
    <n v="140"/>
    <x v="1"/>
    <n v="34.299999999999997"/>
    <x v="1"/>
    <x v="1"/>
    <x v="0"/>
    <n v="171.5"/>
    <n v="700"/>
    <n v="528.5"/>
  </r>
  <r>
    <x v="0"/>
    <n v="22931"/>
    <x v="44"/>
    <n v="119"/>
    <s v="Federal Tech Mortgage Brokers"/>
    <n v="3"/>
    <x v="0"/>
    <s v="C5106"/>
    <x v="21"/>
    <n v="50"/>
    <n v="25"/>
    <n v="25"/>
    <x v="0"/>
    <n v="5.16"/>
    <x v="1"/>
    <x v="1"/>
    <x v="0"/>
    <n v="258"/>
    <n v="1250"/>
    <n v="992"/>
  </r>
  <r>
    <x v="0"/>
    <n v="22931"/>
    <x v="44"/>
    <n v="119"/>
    <s v="Federal Tech Mortgage Brokers"/>
    <n v="4"/>
    <x v="0"/>
    <s v="C5108"/>
    <x v="16"/>
    <n v="50"/>
    <n v="24"/>
    <n v="24"/>
    <x v="0"/>
    <n v="7.09"/>
    <x v="1"/>
    <x v="1"/>
    <x v="0"/>
    <n v="354.5"/>
    <n v="1200"/>
    <n v="845.5"/>
  </r>
  <r>
    <x v="0"/>
    <n v="22932"/>
    <x v="45"/>
    <n v="101"/>
    <s v="Johnson Auto Group"/>
    <n v="1"/>
    <x v="0"/>
    <s v="P1309"/>
    <x v="28"/>
    <n v="10"/>
    <n v="2100"/>
    <n v="2100"/>
    <x v="1"/>
    <n v="1155.3699999999999"/>
    <x v="0"/>
    <x v="1"/>
    <x v="1"/>
    <n v="11553.699999999999"/>
    <n v="21000"/>
    <n v="9446.3000000000011"/>
  </r>
  <r>
    <x v="0"/>
    <n v="22932"/>
    <x v="45"/>
    <n v="101"/>
    <s v="Johnson Auto Group"/>
    <n v="2"/>
    <x v="0"/>
    <s v="A2111"/>
    <x v="18"/>
    <n v="10"/>
    <n v="0"/>
    <n v="0"/>
    <x v="2"/>
    <n v="6.3"/>
    <x v="0"/>
    <x v="1"/>
    <x v="2"/>
    <n v="63"/>
    <n v="0"/>
    <n v="-63"/>
  </r>
  <r>
    <x v="0"/>
    <n v="22932"/>
    <x v="45"/>
    <n v="101"/>
    <s v="Johnson Auto Group"/>
    <n v="3"/>
    <x v="0"/>
    <s v="A2114"/>
    <x v="10"/>
    <n v="10"/>
    <n v="0"/>
    <n v="0"/>
    <x v="2"/>
    <n v="11.59"/>
    <x v="0"/>
    <x v="1"/>
    <x v="2"/>
    <n v="115.9"/>
    <n v="0"/>
    <n v="-115.9"/>
  </r>
  <r>
    <x v="0"/>
    <n v="22932"/>
    <x v="45"/>
    <n v="101"/>
    <s v="Johnson Auto Group"/>
    <n v="4"/>
    <x v="0"/>
    <s v="A2117"/>
    <x v="12"/>
    <n v="10"/>
    <n v="0"/>
    <n v="0"/>
    <x v="2"/>
    <n v="17.22"/>
    <x v="0"/>
    <x v="1"/>
    <x v="2"/>
    <n v="172.2"/>
    <n v="0"/>
    <n v="-172.2"/>
  </r>
  <r>
    <x v="0"/>
    <n v="22933"/>
    <x v="45"/>
    <n v="110"/>
    <s v="Gulf Coast Motors"/>
    <n v="1"/>
    <x v="0"/>
    <s v="C5113"/>
    <x v="19"/>
    <n v="10"/>
    <n v="100"/>
    <n v="100"/>
    <x v="1"/>
    <n v="27.17"/>
    <x v="0"/>
    <x v="4"/>
    <x v="0"/>
    <n v="271.70000000000005"/>
    <n v="1000"/>
    <n v="728.3"/>
  </r>
  <r>
    <x v="0"/>
    <n v="22933"/>
    <x v="45"/>
    <n v="110"/>
    <s v="Gulf Coast Motors"/>
    <n v="2"/>
    <x v="0"/>
    <s v="C5114"/>
    <x v="20"/>
    <n v="10"/>
    <n v="140"/>
    <n v="140"/>
    <x v="1"/>
    <n v="34.299999999999997"/>
    <x v="0"/>
    <x v="4"/>
    <x v="0"/>
    <n v="343"/>
    <n v="1400"/>
    <n v="1057"/>
  </r>
  <r>
    <x v="0"/>
    <n v="22933"/>
    <x v="45"/>
    <n v="110"/>
    <s v="Gulf Coast Motors"/>
    <n v="3"/>
    <x v="0"/>
    <s v="C5109"/>
    <x v="24"/>
    <n v="24"/>
    <n v="50"/>
    <n v="50"/>
    <x v="0"/>
    <n v="11.67"/>
    <x v="0"/>
    <x v="4"/>
    <x v="0"/>
    <n v="280.08"/>
    <n v="1200"/>
    <n v="919.92000000000007"/>
  </r>
  <r>
    <x v="0"/>
    <n v="22933"/>
    <x v="45"/>
    <n v="110"/>
    <s v="Gulf Coast Motors"/>
    <n v="4"/>
    <x v="0"/>
    <s v="C5103"/>
    <x v="2"/>
    <n v="24"/>
    <n v="30"/>
    <n v="30"/>
    <x v="0"/>
    <n v="6.9"/>
    <x v="0"/>
    <x v="4"/>
    <x v="0"/>
    <n v="165.60000000000002"/>
    <n v="720"/>
    <n v="554.4"/>
  </r>
  <r>
    <x v="0"/>
    <n v="22934"/>
    <x v="45"/>
    <n v="116"/>
    <s v="McAndrews Automotive"/>
    <n v="1"/>
    <x v="0"/>
    <s v="P1308"/>
    <x v="32"/>
    <n v="24"/>
    <n v="1800"/>
    <n v="1800"/>
    <x v="1"/>
    <n v="995.59"/>
    <x v="0"/>
    <x v="0"/>
    <x v="1"/>
    <n v="23894.16"/>
    <n v="43200"/>
    <n v="19305.84"/>
  </r>
  <r>
    <x v="0"/>
    <n v="22934"/>
    <x v="45"/>
    <n v="116"/>
    <s v="McAndrews Automotive"/>
    <n v="2"/>
    <x v="0"/>
    <s v="A2111"/>
    <x v="18"/>
    <n v="24"/>
    <n v="0"/>
    <n v="0"/>
    <x v="2"/>
    <n v="6.3"/>
    <x v="0"/>
    <x v="0"/>
    <x v="2"/>
    <n v="151.19999999999999"/>
    <n v="0"/>
    <n v="-151.19999999999999"/>
  </r>
  <r>
    <x v="0"/>
    <n v="22934"/>
    <x v="45"/>
    <n v="116"/>
    <s v="McAndrews Automotive"/>
    <n v="3"/>
    <x v="0"/>
    <s v="A2114"/>
    <x v="10"/>
    <n v="24"/>
    <n v="0"/>
    <n v="0"/>
    <x v="2"/>
    <n v="11.59"/>
    <x v="0"/>
    <x v="0"/>
    <x v="2"/>
    <n v="278.15999999999997"/>
    <n v="0"/>
    <n v="-278.15999999999997"/>
  </r>
  <r>
    <x v="0"/>
    <n v="22934"/>
    <x v="45"/>
    <n v="116"/>
    <s v="McAndrews Automotive"/>
    <n v="4"/>
    <x v="0"/>
    <s v="A2117"/>
    <x v="12"/>
    <n v="24"/>
    <n v="0"/>
    <n v="0"/>
    <x v="2"/>
    <n v="17.22"/>
    <x v="0"/>
    <x v="0"/>
    <x v="2"/>
    <n v="413.28"/>
    <n v="0"/>
    <n v="-413.28"/>
  </r>
  <r>
    <x v="0"/>
    <n v="22935"/>
    <x v="46"/>
    <n v="116"/>
    <s v="McAndrews Automotive"/>
    <n v="1"/>
    <x v="0"/>
    <s v="P1308"/>
    <x v="32"/>
    <n v="3"/>
    <n v="1800"/>
    <n v="1800"/>
    <x v="1"/>
    <n v="995.59"/>
    <x v="0"/>
    <x v="0"/>
    <x v="1"/>
    <n v="2986.77"/>
    <n v="5400"/>
    <n v="2413.23"/>
  </r>
  <r>
    <x v="1"/>
    <n v="22936"/>
    <x v="47"/>
    <n v="116"/>
    <s v="McAndrews Automotive"/>
    <n v="1"/>
    <x v="2"/>
    <s v="P1308"/>
    <x v="32"/>
    <n v="3"/>
    <n v="1800"/>
    <n v="-1800"/>
    <x v="3"/>
    <n v="995.59"/>
    <x v="0"/>
    <x v="0"/>
    <x v="1"/>
    <n v="2986.77"/>
    <n v="-5400"/>
    <n v="-8386.77"/>
  </r>
  <r>
    <x v="0"/>
    <n v="22937"/>
    <x v="48"/>
    <n v="101"/>
    <s v="Johnson Auto Group"/>
    <n v="1"/>
    <x v="0"/>
    <s v="C5103"/>
    <x v="2"/>
    <n v="250"/>
    <n v="24"/>
    <n v="24"/>
    <x v="0"/>
    <n v="6.9"/>
    <x v="0"/>
    <x v="1"/>
    <x v="0"/>
    <n v="1725"/>
    <n v="6000"/>
    <n v="4275"/>
  </r>
  <r>
    <x v="0"/>
    <n v="22937"/>
    <x v="48"/>
    <n v="101"/>
    <s v="Johnson Auto Group"/>
    <n v="2"/>
    <x v="0"/>
    <s v="C5110"/>
    <x v="1"/>
    <n v="25"/>
    <n v="70"/>
    <n v="70"/>
    <x v="0"/>
    <n v="13.92"/>
    <x v="0"/>
    <x v="1"/>
    <x v="0"/>
    <n v="348"/>
    <n v="1750"/>
    <n v="1402"/>
  </r>
  <r>
    <x v="0"/>
    <n v="22938"/>
    <x v="48"/>
    <n v="105"/>
    <s v="Jackson Motors"/>
    <n v="1"/>
    <x v="0"/>
    <s v="C5103"/>
    <x v="2"/>
    <n v="120"/>
    <n v="24"/>
    <n v="24"/>
    <x v="0"/>
    <n v="6.9"/>
    <x v="0"/>
    <x v="5"/>
    <x v="0"/>
    <n v="828"/>
    <n v="2880"/>
    <n v="2052"/>
  </r>
  <r>
    <x v="0"/>
    <n v="22938"/>
    <x v="48"/>
    <n v="105"/>
    <s v="Jackson Motors"/>
    <n v="2"/>
    <x v="0"/>
    <s v="C5110"/>
    <x v="1"/>
    <n v="50"/>
    <n v="70"/>
    <n v="70"/>
    <x v="0"/>
    <n v="13.92"/>
    <x v="0"/>
    <x v="5"/>
    <x v="0"/>
    <n v="696"/>
    <n v="3500"/>
    <n v="2804"/>
  </r>
  <r>
    <x v="0"/>
    <n v="22939"/>
    <x v="48"/>
    <n v="106"/>
    <s v="JS Automotive"/>
    <n v="1"/>
    <x v="0"/>
    <s v="C5101"/>
    <x v="0"/>
    <n v="80"/>
    <n v="18"/>
    <n v="18"/>
    <x v="0"/>
    <n v="4.58"/>
    <x v="0"/>
    <x v="0"/>
    <x v="0"/>
    <n v="366.4"/>
    <n v="1440"/>
    <n v="1073.5999999999999"/>
  </r>
  <r>
    <x v="0"/>
    <n v="22939"/>
    <x v="48"/>
    <n v="106"/>
    <s v="JS Automotive"/>
    <n v="2"/>
    <x v="0"/>
    <s v="C5110"/>
    <x v="1"/>
    <n v="20"/>
    <n v="70"/>
    <n v="70"/>
    <x v="0"/>
    <n v="13.92"/>
    <x v="0"/>
    <x v="0"/>
    <x v="0"/>
    <n v="278.39999999999998"/>
    <n v="1400"/>
    <n v="1121.5999999999999"/>
  </r>
  <r>
    <x v="0"/>
    <n v="22940"/>
    <x v="48"/>
    <n v="107"/>
    <s v="Erwin Mortgage"/>
    <n v="1"/>
    <x v="0"/>
    <s v="C5103"/>
    <x v="2"/>
    <n v="10"/>
    <n v="30"/>
    <n v="30"/>
    <x v="0"/>
    <n v="6.9"/>
    <x v="1"/>
    <x v="1"/>
    <x v="0"/>
    <n v="69"/>
    <n v="300"/>
    <n v="231"/>
  </r>
  <r>
    <x v="0"/>
    <n v="22940"/>
    <x v="48"/>
    <n v="107"/>
    <s v="Erwin Mortgage"/>
    <n v="2"/>
    <x v="0"/>
    <s v="C5110"/>
    <x v="1"/>
    <n v="2"/>
    <n v="70"/>
    <n v="70"/>
    <x v="0"/>
    <n v="13.92"/>
    <x v="1"/>
    <x v="1"/>
    <x v="0"/>
    <n v="27.84"/>
    <n v="140"/>
    <n v="112.16"/>
  </r>
  <r>
    <x v="0"/>
    <n v="22941"/>
    <x v="48"/>
    <n v="108"/>
    <s v="O'Neil Motoring"/>
    <n v="1"/>
    <x v="0"/>
    <s v="C5113"/>
    <x v="19"/>
    <n v="20"/>
    <n v="100"/>
    <n v="100"/>
    <x v="1"/>
    <n v="27.17"/>
    <x v="1"/>
    <x v="3"/>
    <x v="0"/>
    <n v="543.40000000000009"/>
    <n v="2000"/>
    <n v="1456.6"/>
  </r>
  <r>
    <x v="0"/>
    <n v="22941"/>
    <x v="48"/>
    <n v="108"/>
    <s v="O'Neil Motoring"/>
    <n v="2"/>
    <x v="0"/>
    <s v="C5114"/>
    <x v="20"/>
    <n v="20"/>
    <n v="140"/>
    <n v="140"/>
    <x v="1"/>
    <n v="34.299999999999997"/>
    <x v="1"/>
    <x v="3"/>
    <x v="0"/>
    <n v="686"/>
    <n v="2800"/>
    <n v="2114"/>
  </r>
  <r>
    <x v="0"/>
    <n v="22941"/>
    <x v="48"/>
    <n v="108"/>
    <s v="O'Neil Motoring"/>
    <n v="3"/>
    <x v="0"/>
    <s v="C5108"/>
    <x v="16"/>
    <n v="100"/>
    <n v="19.200000000000003"/>
    <n v="19.200000000000003"/>
    <x v="0"/>
    <n v="7.09"/>
    <x v="1"/>
    <x v="3"/>
    <x v="0"/>
    <n v="709"/>
    <n v="1920.0000000000002"/>
    <n v="1211.0000000000002"/>
  </r>
  <r>
    <x v="0"/>
    <n v="22942"/>
    <x v="48"/>
    <n v="112"/>
    <s v="Macon Financial Title Company"/>
    <n v="1"/>
    <x v="0"/>
    <s v="C5110"/>
    <x v="1"/>
    <n v="5"/>
    <n v="70"/>
    <n v="70"/>
    <x v="0"/>
    <n v="13.92"/>
    <x v="1"/>
    <x v="1"/>
    <x v="0"/>
    <n v="69.599999999999994"/>
    <n v="350"/>
    <n v="280.39999999999998"/>
  </r>
  <r>
    <x v="0"/>
    <n v="22942"/>
    <x v="48"/>
    <n v="112"/>
    <s v="Macon Financial Title Company"/>
    <n v="2"/>
    <x v="0"/>
    <s v="C5103"/>
    <x v="2"/>
    <n v="5"/>
    <n v="30"/>
    <n v="30"/>
    <x v="0"/>
    <n v="6.9"/>
    <x v="1"/>
    <x v="1"/>
    <x v="0"/>
    <n v="34.5"/>
    <n v="150"/>
    <n v="115.5"/>
  </r>
  <r>
    <x v="0"/>
    <n v="22943"/>
    <x v="48"/>
    <n v="113"/>
    <s v="Jefferson Mortgage"/>
    <n v="1"/>
    <x v="0"/>
    <s v="C5103"/>
    <x v="2"/>
    <n v="250"/>
    <n v="24"/>
    <n v="24"/>
    <x v="0"/>
    <n v="6.9"/>
    <x v="1"/>
    <x v="1"/>
    <x v="0"/>
    <n v="1725"/>
    <n v="6000"/>
    <n v="4275"/>
  </r>
  <r>
    <x v="0"/>
    <n v="22943"/>
    <x v="48"/>
    <n v="113"/>
    <s v="Jefferson Mortgage"/>
    <n v="2"/>
    <x v="0"/>
    <s v="C5110"/>
    <x v="1"/>
    <n v="50"/>
    <n v="70"/>
    <n v="70"/>
    <x v="0"/>
    <n v="13.92"/>
    <x v="1"/>
    <x v="1"/>
    <x v="0"/>
    <n v="696"/>
    <n v="3500"/>
    <n v="2804"/>
  </r>
  <r>
    <x v="0"/>
    <n v="22944"/>
    <x v="48"/>
    <n v="114"/>
    <s v="Godderis Automotive Group"/>
    <n v="1"/>
    <x v="0"/>
    <s v="C5113"/>
    <x v="19"/>
    <n v="12"/>
    <n v="100"/>
    <n v="100"/>
    <x v="1"/>
    <n v="27.17"/>
    <x v="0"/>
    <x v="2"/>
    <x v="0"/>
    <n v="326.04000000000002"/>
    <n v="1200"/>
    <n v="873.96"/>
  </r>
  <r>
    <x v="0"/>
    <n v="22944"/>
    <x v="48"/>
    <n v="114"/>
    <s v="Godderis Automotive Group"/>
    <n v="2"/>
    <x v="0"/>
    <s v="C5114"/>
    <x v="20"/>
    <n v="7"/>
    <n v="140"/>
    <n v="140"/>
    <x v="1"/>
    <n v="34.299999999999997"/>
    <x v="0"/>
    <x v="2"/>
    <x v="0"/>
    <n v="240.09999999999997"/>
    <n v="980"/>
    <n v="739.90000000000009"/>
  </r>
  <r>
    <x v="0"/>
    <n v="22944"/>
    <x v="48"/>
    <n v="114"/>
    <s v="Godderis Automotive Group"/>
    <n v="3"/>
    <x v="0"/>
    <s v="C5106"/>
    <x v="21"/>
    <n v="20"/>
    <n v="25"/>
    <n v="25"/>
    <x v="0"/>
    <n v="5.16"/>
    <x v="0"/>
    <x v="2"/>
    <x v="0"/>
    <n v="103.2"/>
    <n v="500"/>
    <n v="396.8"/>
  </r>
  <r>
    <x v="0"/>
    <n v="22944"/>
    <x v="48"/>
    <n v="114"/>
    <s v="Godderis Automotive Group"/>
    <n v="4"/>
    <x v="0"/>
    <s v="C5108"/>
    <x v="16"/>
    <n v="17"/>
    <n v="24"/>
    <n v="24"/>
    <x v="0"/>
    <n v="7.09"/>
    <x v="0"/>
    <x v="2"/>
    <x v="0"/>
    <n v="120.53"/>
    <n v="408"/>
    <n v="287.47000000000003"/>
  </r>
  <r>
    <x v="0"/>
    <n v="22945"/>
    <x v="48"/>
    <n v="116"/>
    <s v="McAndrews Automotive"/>
    <n v="1"/>
    <x v="0"/>
    <s v="C5103"/>
    <x v="2"/>
    <n v="50"/>
    <n v="30"/>
    <n v="30"/>
    <x v="0"/>
    <n v="6.9"/>
    <x v="0"/>
    <x v="0"/>
    <x v="0"/>
    <n v="345"/>
    <n v="1500"/>
    <n v="1155"/>
  </r>
  <r>
    <x v="0"/>
    <n v="22945"/>
    <x v="48"/>
    <n v="116"/>
    <s v="McAndrews Automotive"/>
    <n v="2"/>
    <x v="0"/>
    <s v="C5110"/>
    <x v="1"/>
    <n v="20"/>
    <n v="70"/>
    <n v="70"/>
    <x v="0"/>
    <n v="13.92"/>
    <x v="0"/>
    <x v="0"/>
    <x v="0"/>
    <n v="278.39999999999998"/>
    <n v="1400"/>
    <n v="1121.5999999999999"/>
  </r>
  <r>
    <x v="0"/>
    <n v="22946"/>
    <x v="48"/>
    <n v="117"/>
    <s v="Sullivan Motors"/>
    <n v="1"/>
    <x v="0"/>
    <s v="C5110"/>
    <x v="1"/>
    <n v="12"/>
    <n v="70"/>
    <n v="70"/>
    <x v="0"/>
    <n v="13.92"/>
    <x v="0"/>
    <x v="1"/>
    <x v="0"/>
    <n v="167.04"/>
    <n v="840"/>
    <n v="672.96"/>
  </r>
  <r>
    <x v="0"/>
    <n v="22946"/>
    <x v="48"/>
    <n v="117"/>
    <s v="Sullivan Motors"/>
    <n v="2"/>
    <x v="0"/>
    <s v="C5103"/>
    <x v="2"/>
    <n v="12"/>
    <n v="30"/>
    <n v="30"/>
    <x v="0"/>
    <n v="6.9"/>
    <x v="0"/>
    <x v="1"/>
    <x v="0"/>
    <n v="82.800000000000011"/>
    <n v="360"/>
    <n v="277.2"/>
  </r>
  <r>
    <x v="0"/>
    <n v="22947"/>
    <x v="48"/>
    <n v="119"/>
    <s v="Federal Tech Mortgage Brokers"/>
    <n v="1"/>
    <x v="0"/>
    <s v="C5113"/>
    <x v="19"/>
    <n v="5"/>
    <n v="100"/>
    <n v="100"/>
    <x v="1"/>
    <n v="27.17"/>
    <x v="1"/>
    <x v="1"/>
    <x v="0"/>
    <n v="135.85000000000002"/>
    <n v="500"/>
    <n v="364.15"/>
  </r>
  <r>
    <x v="0"/>
    <n v="22947"/>
    <x v="48"/>
    <n v="119"/>
    <s v="Federal Tech Mortgage Brokers"/>
    <n v="2"/>
    <x v="0"/>
    <s v="C5114"/>
    <x v="20"/>
    <n v="5"/>
    <n v="140"/>
    <n v="140"/>
    <x v="1"/>
    <n v="34.299999999999997"/>
    <x v="1"/>
    <x v="1"/>
    <x v="0"/>
    <n v="171.5"/>
    <n v="700"/>
    <n v="528.5"/>
  </r>
  <r>
    <x v="0"/>
    <n v="22947"/>
    <x v="48"/>
    <n v="119"/>
    <s v="Federal Tech Mortgage Brokers"/>
    <n v="3"/>
    <x v="0"/>
    <s v="C5106"/>
    <x v="21"/>
    <n v="50"/>
    <n v="25"/>
    <n v="25"/>
    <x v="0"/>
    <n v="5.16"/>
    <x v="1"/>
    <x v="1"/>
    <x v="0"/>
    <n v="258"/>
    <n v="1250"/>
    <n v="992"/>
  </r>
  <r>
    <x v="0"/>
    <n v="22947"/>
    <x v="48"/>
    <n v="119"/>
    <s v="Federal Tech Mortgage Brokers"/>
    <n v="4"/>
    <x v="0"/>
    <s v="C5108"/>
    <x v="16"/>
    <n v="50"/>
    <n v="24"/>
    <n v="24"/>
    <x v="0"/>
    <n v="7.09"/>
    <x v="1"/>
    <x v="1"/>
    <x v="0"/>
    <n v="354.5"/>
    <n v="1200"/>
    <n v="845.5"/>
  </r>
  <r>
    <x v="0"/>
    <n v="22948"/>
    <x v="49"/>
    <n v="114"/>
    <s v="Godderis Automotive Group"/>
    <n v="1"/>
    <x v="0"/>
    <s v="P1311"/>
    <x v="17"/>
    <n v="1"/>
    <n v="2700"/>
    <n v="2700"/>
    <x v="1"/>
    <n v="1440.45"/>
    <x v="0"/>
    <x v="2"/>
    <x v="1"/>
    <n v="1440.45"/>
    <n v="2700"/>
    <n v="1259.55"/>
  </r>
  <r>
    <x v="0"/>
    <n v="22948"/>
    <x v="49"/>
    <n v="114"/>
    <s v="Godderis Automotive Group"/>
    <n v="2"/>
    <x v="0"/>
    <s v="A2111"/>
    <x v="18"/>
    <n v="1"/>
    <n v="30"/>
    <n v="30"/>
    <x v="0"/>
    <n v="6.3"/>
    <x v="0"/>
    <x v="2"/>
    <x v="2"/>
    <n v="6.3"/>
    <n v="30"/>
    <n v="23.7"/>
  </r>
  <r>
    <x v="0"/>
    <n v="22948"/>
    <x v="49"/>
    <n v="114"/>
    <s v="Godderis Automotive Group"/>
    <n v="3"/>
    <x v="0"/>
    <s v="A2114"/>
    <x v="10"/>
    <n v="1"/>
    <n v="30"/>
    <n v="30"/>
    <x v="0"/>
    <n v="11.59"/>
    <x v="0"/>
    <x v="2"/>
    <x v="2"/>
    <n v="11.59"/>
    <n v="30"/>
    <n v="18.41"/>
  </r>
  <r>
    <x v="0"/>
    <n v="22948"/>
    <x v="49"/>
    <n v="114"/>
    <s v="Godderis Automotive Group"/>
    <n v="4"/>
    <x v="0"/>
    <s v="A2117"/>
    <x v="12"/>
    <n v="1"/>
    <n v="60"/>
    <n v="60"/>
    <x v="0"/>
    <n v="17.22"/>
    <x v="0"/>
    <x v="2"/>
    <x v="2"/>
    <n v="17.22"/>
    <n v="60"/>
    <n v="42.78"/>
  </r>
  <r>
    <x v="0"/>
    <n v="22949"/>
    <x v="49"/>
    <n v="118"/>
    <s v="First Trust Financial"/>
    <n v="1"/>
    <x v="0"/>
    <s v="C5110"/>
    <x v="1"/>
    <n v="10"/>
    <n v="70"/>
    <n v="70"/>
    <x v="0"/>
    <n v="13.92"/>
    <x v="1"/>
    <x v="1"/>
    <x v="0"/>
    <n v="139.19999999999999"/>
    <n v="700"/>
    <n v="560.79999999999995"/>
  </r>
  <r>
    <x v="0"/>
    <n v="22949"/>
    <x v="49"/>
    <n v="118"/>
    <s v="First Trust Financial"/>
    <n v="2"/>
    <x v="0"/>
    <s v="C5103"/>
    <x v="2"/>
    <n v="20"/>
    <n v="30"/>
    <n v="30"/>
    <x v="0"/>
    <n v="6.9"/>
    <x v="1"/>
    <x v="1"/>
    <x v="0"/>
    <n v="138"/>
    <n v="600"/>
    <n v="462"/>
  </r>
  <r>
    <x v="0"/>
    <n v="22950"/>
    <x v="50"/>
    <n v="111"/>
    <s v="Birmingham Automotive Group"/>
    <n v="1"/>
    <x v="0"/>
    <s v="C5111"/>
    <x v="30"/>
    <n v="25"/>
    <n v="40"/>
    <n v="40"/>
    <x v="0"/>
    <n v="5.4"/>
    <x v="0"/>
    <x v="4"/>
    <x v="0"/>
    <n v="135"/>
    <n v="1000"/>
    <n v="865"/>
  </r>
  <r>
    <x v="0"/>
    <n v="22950"/>
    <x v="50"/>
    <n v="111"/>
    <s v="Birmingham Automotive Group"/>
    <n v="2"/>
    <x v="0"/>
    <s v="C5112"/>
    <x v="31"/>
    <n v="25"/>
    <n v="70"/>
    <n v="70"/>
    <x v="0"/>
    <n v="8.3699999999999992"/>
    <x v="0"/>
    <x v="4"/>
    <x v="0"/>
    <n v="209.24999999999997"/>
    <n v="1750"/>
    <n v="1540.75"/>
  </r>
  <r>
    <x v="0"/>
    <n v="22951"/>
    <x v="51"/>
    <n v="103"/>
    <s v="Hardman Financial Management"/>
    <n v="1"/>
    <x v="0"/>
    <s v="C5110"/>
    <x v="1"/>
    <n v="4"/>
    <n v="70"/>
    <n v="70"/>
    <x v="0"/>
    <n v="13.92"/>
    <x v="1"/>
    <x v="3"/>
    <x v="0"/>
    <n v="55.68"/>
    <n v="280"/>
    <n v="224.32"/>
  </r>
  <r>
    <x v="0"/>
    <n v="22951"/>
    <x v="51"/>
    <n v="103"/>
    <s v="Hardman Financial Management"/>
    <n v="2"/>
    <x v="0"/>
    <s v="C5103"/>
    <x v="2"/>
    <n v="4"/>
    <n v="30"/>
    <n v="30"/>
    <x v="0"/>
    <n v="6.9"/>
    <x v="1"/>
    <x v="3"/>
    <x v="0"/>
    <n v="27.6"/>
    <n v="120"/>
    <n v="92.4"/>
  </r>
  <r>
    <x v="0"/>
    <n v="22952"/>
    <x v="51"/>
    <n v="110"/>
    <s v="Gulf Coast Motors"/>
    <n v="1"/>
    <x v="0"/>
    <s v="C5113"/>
    <x v="19"/>
    <n v="10"/>
    <n v="100"/>
    <n v="100"/>
    <x v="1"/>
    <n v="27.17"/>
    <x v="0"/>
    <x v="4"/>
    <x v="0"/>
    <n v="271.70000000000005"/>
    <n v="1000"/>
    <n v="728.3"/>
  </r>
  <r>
    <x v="0"/>
    <n v="22952"/>
    <x v="51"/>
    <n v="110"/>
    <s v="Gulf Coast Motors"/>
    <n v="2"/>
    <x v="0"/>
    <s v="C5114"/>
    <x v="20"/>
    <n v="10"/>
    <n v="140"/>
    <n v="140"/>
    <x v="1"/>
    <n v="34.299999999999997"/>
    <x v="0"/>
    <x v="4"/>
    <x v="0"/>
    <n v="343"/>
    <n v="1400"/>
    <n v="1057"/>
  </r>
  <r>
    <x v="0"/>
    <n v="22952"/>
    <x v="51"/>
    <n v="110"/>
    <s v="Gulf Coast Motors"/>
    <n v="3"/>
    <x v="0"/>
    <s v="C5109"/>
    <x v="24"/>
    <n v="24"/>
    <n v="50"/>
    <n v="50"/>
    <x v="0"/>
    <n v="11.67"/>
    <x v="0"/>
    <x v="4"/>
    <x v="0"/>
    <n v="280.08"/>
    <n v="1200"/>
    <n v="919.92000000000007"/>
  </r>
  <r>
    <x v="0"/>
    <n v="22952"/>
    <x v="51"/>
    <n v="110"/>
    <s v="Gulf Coast Motors"/>
    <n v="4"/>
    <x v="0"/>
    <s v="C5103"/>
    <x v="2"/>
    <n v="24"/>
    <n v="30"/>
    <n v="30"/>
    <x v="0"/>
    <n v="6.9"/>
    <x v="0"/>
    <x v="4"/>
    <x v="0"/>
    <n v="165.60000000000002"/>
    <n v="720"/>
    <n v="554.4"/>
  </r>
  <r>
    <x v="0"/>
    <n v="22953"/>
    <x v="52"/>
    <n v="111"/>
    <s v="Birmingham Automotive Group"/>
    <n v="1"/>
    <x v="0"/>
    <s v="C5111"/>
    <x v="30"/>
    <n v="25"/>
    <n v="40"/>
    <n v="40"/>
    <x v="0"/>
    <n v="5.4"/>
    <x v="0"/>
    <x v="4"/>
    <x v="0"/>
    <n v="135"/>
    <n v="1000"/>
    <n v="865"/>
  </r>
  <r>
    <x v="0"/>
    <n v="22953"/>
    <x v="52"/>
    <n v="111"/>
    <s v="Birmingham Automotive Group"/>
    <n v="2"/>
    <x v="0"/>
    <s v="C5112"/>
    <x v="31"/>
    <n v="25"/>
    <n v="70"/>
    <n v="70"/>
    <x v="0"/>
    <n v="8.3699999999999992"/>
    <x v="0"/>
    <x v="4"/>
    <x v="0"/>
    <n v="209.24999999999997"/>
    <n v="1750"/>
    <n v="1540.75"/>
  </r>
  <r>
    <x v="0"/>
    <n v="22954"/>
    <x v="53"/>
    <n v="101"/>
    <s v="Johnson Auto Group"/>
    <n v="1"/>
    <x v="0"/>
    <s v="C5103"/>
    <x v="2"/>
    <n v="250"/>
    <n v="24"/>
    <n v="24"/>
    <x v="0"/>
    <n v="6.9"/>
    <x v="0"/>
    <x v="1"/>
    <x v="0"/>
    <n v="1725"/>
    <n v="6000"/>
    <n v="4275"/>
  </r>
  <r>
    <x v="0"/>
    <n v="22954"/>
    <x v="53"/>
    <n v="101"/>
    <s v="Johnson Auto Group"/>
    <n v="2"/>
    <x v="0"/>
    <s v="C5110"/>
    <x v="1"/>
    <n v="25"/>
    <n v="70"/>
    <n v="70"/>
    <x v="0"/>
    <n v="13.92"/>
    <x v="0"/>
    <x v="1"/>
    <x v="0"/>
    <n v="348"/>
    <n v="1750"/>
    <n v="1402"/>
  </r>
  <r>
    <x v="0"/>
    <n v="22954"/>
    <x v="53"/>
    <n v="101"/>
    <s v="Johnson Auto Group"/>
    <n v="3"/>
    <x v="0"/>
    <s v="A2119"/>
    <x v="29"/>
    <n v="2"/>
    <n v="250"/>
    <n v="250"/>
    <x v="1"/>
    <n v="93.81"/>
    <x v="0"/>
    <x v="1"/>
    <x v="2"/>
    <n v="187.62"/>
    <n v="500"/>
    <n v="312.38"/>
  </r>
  <r>
    <x v="0"/>
    <n v="22954"/>
    <x v="53"/>
    <n v="101"/>
    <s v="Johnson Auto Group"/>
    <n v="4"/>
    <x v="0"/>
    <s v="C5105"/>
    <x v="33"/>
    <n v="100"/>
    <n v="12"/>
    <n v="12"/>
    <x v="0"/>
    <n v="3.43"/>
    <x v="0"/>
    <x v="1"/>
    <x v="0"/>
    <n v="343"/>
    <n v="1200"/>
    <n v="857"/>
  </r>
  <r>
    <x v="0"/>
    <n v="22954"/>
    <x v="53"/>
    <n v="101"/>
    <s v="Johnson Auto Group"/>
    <n v="5"/>
    <x v="0"/>
    <s v="C5113"/>
    <x v="19"/>
    <n v="10"/>
    <n v="100"/>
    <n v="100"/>
    <x v="1"/>
    <n v="27.17"/>
    <x v="0"/>
    <x v="1"/>
    <x v="0"/>
    <n v="271.70000000000005"/>
    <n v="1000"/>
    <n v="728.3"/>
  </r>
  <r>
    <x v="0"/>
    <n v="22954"/>
    <x v="53"/>
    <n v="101"/>
    <s v="Johnson Auto Group"/>
    <n v="6"/>
    <x v="0"/>
    <s v="C5114"/>
    <x v="20"/>
    <n v="10"/>
    <n v="140"/>
    <n v="140"/>
    <x v="1"/>
    <n v="34.299999999999997"/>
    <x v="0"/>
    <x v="1"/>
    <x v="0"/>
    <n v="343"/>
    <n v="1400"/>
    <n v="1057"/>
  </r>
  <r>
    <x v="0"/>
    <n v="22955"/>
    <x v="53"/>
    <n v="102"/>
    <s v="McKesson Auto Group"/>
    <n v="1"/>
    <x v="0"/>
    <s v="C5102"/>
    <x v="13"/>
    <n v="40"/>
    <n v="35"/>
    <n v="35"/>
    <x v="0"/>
    <n v="6.37"/>
    <x v="0"/>
    <x v="1"/>
    <x v="0"/>
    <n v="254.8"/>
    <n v="1400"/>
    <n v="1145.2"/>
  </r>
  <r>
    <x v="0"/>
    <n v="22955"/>
    <x v="53"/>
    <n v="102"/>
    <s v="McKesson Auto Group"/>
    <n v="2"/>
    <x v="0"/>
    <s v="C5110"/>
    <x v="1"/>
    <n v="5"/>
    <n v="70"/>
    <n v="70"/>
    <x v="0"/>
    <n v="13.92"/>
    <x v="0"/>
    <x v="1"/>
    <x v="0"/>
    <n v="69.599999999999994"/>
    <n v="350"/>
    <n v="280.39999999999998"/>
  </r>
  <r>
    <x v="0"/>
    <n v="22955"/>
    <x v="53"/>
    <n v="102"/>
    <s v="McKesson Auto Group"/>
    <n v="3"/>
    <x v="0"/>
    <s v="C5113"/>
    <x v="19"/>
    <n v="3"/>
    <n v="100"/>
    <n v="100"/>
    <x v="1"/>
    <n v="27.17"/>
    <x v="0"/>
    <x v="1"/>
    <x v="0"/>
    <n v="81.510000000000005"/>
    <n v="300"/>
    <n v="218.49"/>
  </r>
  <r>
    <x v="0"/>
    <n v="22955"/>
    <x v="53"/>
    <n v="102"/>
    <s v="McKesson Auto Group"/>
    <n v="4"/>
    <x v="0"/>
    <s v="C5114"/>
    <x v="20"/>
    <n v="3"/>
    <n v="140"/>
    <n v="140"/>
    <x v="1"/>
    <n v="34.299999999999997"/>
    <x v="0"/>
    <x v="1"/>
    <x v="0"/>
    <n v="102.89999999999999"/>
    <n v="420"/>
    <n v="317.10000000000002"/>
  </r>
  <r>
    <x v="0"/>
    <n v="22956"/>
    <x v="53"/>
    <n v="103"/>
    <s v="Hardman Financial Management"/>
    <n v="1"/>
    <x v="0"/>
    <s v="P1205"/>
    <x v="34"/>
    <n v="1"/>
    <n v="350"/>
    <n v="350"/>
    <x v="1"/>
    <n v="212.19"/>
    <x v="1"/>
    <x v="3"/>
    <x v="1"/>
    <n v="212.19"/>
    <n v="350"/>
    <n v="137.81"/>
  </r>
  <r>
    <x v="0"/>
    <n v="22957"/>
    <x v="53"/>
    <n v="105"/>
    <s v="Jackson Motors"/>
    <n v="1"/>
    <x v="0"/>
    <s v="C5103"/>
    <x v="2"/>
    <n v="120"/>
    <n v="24"/>
    <n v="24"/>
    <x v="0"/>
    <n v="6.9"/>
    <x v="0"/>
    <x v="5"/>
    <x v="0"/>
    <n v="828"/>
    <n v="2880"/>
    <n v="2052"/>
  </r>
  <r>
    <x v="0"/>
    <n v="22957"/>
    <x v="53"/>
    <n v="105"/>
    <s v="Jackson Motors"/>
    <n v="2"/>
    <x v="0"/>
    <s v="C5110"/>
    <x v="1"/>
    <n v="50"/>
    <n v="70"/>
    <n v="70"/>
    <x v="0"/>
    <n v="13.92"/>
    <x v="0"/>
    <x v="5"/>
    <x v="0"/>
    <n v="696"/>
    <n v="3500"/>
    <n v="2804"/>
  </r>
  <r>
    <x v="0"/>
    <n v="22958"/>
    <x v="53"/>
    <n v="106"/>
    <s v="JS Automotive"/>
    <n v="1"/>
    <x v="0"/>
    <s v="C5101"/>
    <x v="0"/>
    <n v="80"/>
    <n v="18"/>
    <n v="18"/>
    <x v="0"/>
    <n v="4.58"/>
    <x v="0"/>
    <x v="0"/>
    <x v="0"/>
    <n v="366.4"/>
    <n v="1440"/>
    <n v="1073.5999999999999"/>
  </r>
  <r>
    <x v="0"/>
    <n v="22958"/>
    <x v="53"/>
    <n v="106"/>
    <s v="JS Automotive"/>
    <n v="2"/>
    <x v="0"/>
    <s v="C5110"/>
    <x v="1"/>
    <n v="20"/>
    <n v="70"/>
    <n v="70"/>
    <x v="0"/>
    <n v="13.92"/>
    <x v="0"/>
    <x v="0"/>
    <x v="0"/>
    <n v="278.39999999999998"/>
    <n v="1400"/>
    <n v="1121.5999999999999"/>
  </r>
  <r>
    <x v="0"/>
    <n v="22959"/>
    <x v="53"/>
    <n v="107"/>
    <s v="Erwin Mortgage"/>
    <n v="1"/>
    <x v="0"/>
    <s v="C5103"/>
    <x v="2"/>
    <n v="10"/>
    <n v="30"/>
    <n v="30"/>
    <x v="0"/>
    <n v="6.9"/>
    <x v="1"/>
    <x v="1"/>
    <x v="0"/>
    <n v="69"/>
    <n v="300"/>
    <n v="231"/>
  </r>
  <r>
    <x v="0"/>
    <n v="22960"/>
    <x v="53"/>
    <n v="107"/>
    <s v="Erwin Mortgage"/>
    <n v="1"/>
    <x v="0"/>
    <s v="C5113"/>
    <x v="19"/>
    <n v="1"/>
    <n v="100"/>
    <n v="100"/>
    <x v="1"/>
    <n v="27.17"/>
    <x v="1"/>
    <x v="1"/>
    <x v="0"/>
    <n v="27.17"/>
    <n v="100"/>
    <n v="72.83"/>
  </r>
  <r>
    <x v="0"/>
    <n v="22960"/>
    <x v="53"/>
    <n v="107"/>
    <s v="Erwin Mortgage"/>
    <n v="2"/>
    <x v="0"/>
    <s v="C5110"/>
    <x v="1"/>
    <n v="2"/>
    <n v="70"/>
    <n v="70"/>
    <x v="0"/>
    <n v="13.92"/>
    <x v="1"/>
    <x v="1"/>
    <x v="0"/>
    <n v="27.84"/>
    <n v="140"/>
    <n v="112.16"/>
  </r>
  <r>
    <x v="0"/>
    <n v="22960"/>
    <x v="53"/>
    <n v="107"/>
    <s v="Erwin Mortgage"/>
    <n v="2"/>
    <x v="0"/>
    <s v="C5114"/>
    <x v="20"/>
    <n v="1"/>
    <n v="140"/>
    <n v="140"/>
    <x v="1"/>
    <n v="34.299999999999997"/>
    <x v="1"/>
    <x v="1"/>
    <x v="0"/>
    <n v="34.299999999999997"/>
    <n v="140"/>
    <n v="105.7"/>
  </r>
  <r>
    <x v="0"/>
    <n v="22961"/>
    <x v="53"/>
    <n v="112"/>
    <s v="Macon Financial Title Company"/>
    <n v="1"/>
    <x v="0"/>
    <s v="C5103"/>
    <x v="2"/>
    <n v="5"/>
    <n v="30"/>
    <n v="30"/>
    <x v="0"/>
    <n v="6.9"/>
    <x v="1"/>
    <x v="1"/>
    <x v="0"/>
    <n v="34.5"/>
    <n v="150"/>
    <n v="115.5"/>
  </r>
  <r>
    <x v="0"/>
    <n v="22961"/>
    <x v="53"/>
    <n v="112"/>
    <s v="Macon Financial Title Company"/>
    <n v="2"/>
    <x v="0"/>
    <s v="C5110"/>
    <x v="1"/>
    <n v="5"/>
    <n v="70"/>
    <n v="70"/>
    <x v="0"/>
    <n v="13.92"/>
    <x v="1"/>
    <x v="1"/>
    <x v="0"/>
    <n v="69.599999999999994"/>
    <n v="350"/>
    <n v="280.39999999999998"/>
  </r>
  <r>
    <x v="0"/>
    <n v="22962"/>
    <x v="53"/>
    <n v="113"/>
    <s v="Jefferson Mortgage"/>
    <n v="1"/>
    <x v="0"/>
    <s v="C5103"/>
    <x v="2"/>
    <n v="250"/>
    <n v="24"/>
    <n v="24"/>
    <x v="0"/>
    <n v="6.9"/>
    <x v="1"/>
    <x v="1"/>
    <x v="0"/>
    <n v="1725"/>
    <n v="6000"/>
    <n v="4275"/>
  </r>
  <r>
    <x v="0"/>
    <n v="22962"/>
    <x v="53"/>
    <n v="113"/>
    <s v="Jefferson Mortgage"/>
    <n v="2"/>
    <x v="0"/>
    <s v="C5110"/>
    <x v="1"/>
    <n v="50"/>
    <n v="70"/>
    <n v="70"/>
    <x v="0"/>
    <n v="13.92"/>
    <x v="1"/>
    <x v="1"/>
    <x v="0"/>
    <n v="696"/>
    <n v="3500"/>
    <n v="2804"/>
  </r>
  <r>
    <x v="0"/>
    <n v="22962"/>
    <x v="53"/>
    <n v="113"/>
    <s v="Jefferson Mortgage"/>
    <n v="3"/>
    <x v="0"/>
    <s v="A2118"/>
    <x v="7"/>
    <n v="2"/>
    <n v="250"/>
    <n v="250"/>
    <x v="1"/>
    <n v="89.7"/>
    <x v="1"/>
    <x v="1"/>
    <x v="2"/>
    <n v="179.4"/>
    <n v="500"/>
    <n v="320.60000000000002"/>
  </r>
  <r>
    <x v="0"/>
    <n v="22963"/>
    <x v="53"/>
    <n v="114"/>
    <s v="Godderis Automotive Group"/>
    <n v="1"/>
    <x v="0"/>
    <s v="C5113"/>
    <x v="19"/>
    <n v="3"/>
    <n v="100"/>
    <n v="100"/>
    <x v="1"/>
    <n v="27.17"/>
    <x v="0"/>
    <x v="2"/>
    <x v="0"/>
    <n v="81.510000000000005"/>
    <n v="300"/>
    <n v="218.49"/>
  </r>
  <r>
    <x v="0"/>
    <n v="22963"/>
    <x v="53"/>
    <n v="114"/>
    <s v="Godderis Automotive Group"/>
    <n v="2"/>
    <x v="0"/>
    <s v="C5114"/>
    <x v="20"/>
    <n v="2"/>
    <n v="140"/>
    <n v="140"/>
    <x v="1"/>
    <n v="34.299999999999997"/>
    <x v="0"/>
    <x v="2"/>
    <x v="0"/>
    <n v="68.599999999999994"/>
    <n v="280"/>
    <n v="211.4"/>
  </r>
  <r>
    <x v="0"/>
    <n v="22963"/>
    <x v="53"/>
    <n v="114"/>
    <s v="Godderis Automotive Group"/>
    <n v="3"/>
    <x v="0"/>
    <s v="C5106"/>
    <x v="21"/>
    <n v="16"/>
    <n v="25"/>
    <n v="25"/>
    <x v="0"/>
    <n v="5.16"/>
    <x v="0"/>
    <x v="2"/>
    <x v="0"/>
    <n v="82.56"/>
    <n v="400"/>
    <n v="317.44"/>
  </r>
  <r>
    <x v="0"/>
    <n v="22963"/>
    <x v="53"/>
    <n v="114"/>
    <s v="Godderis Automotive Group"/>
    <n v="4"/>
    <x v="0"/>
    <s v="C5108"/>
    <x v="16"/>
    <n v="21"/>
    <n v="24"/>
    <n v="24"/>
    <x v="0"/>
    <n v="7.09"/>
    <x v="0"/>
    <x v="2"/>
    <x v="0"/>
    <n v="148.88999999999999"/>
    <n v="504"/>
    <n v="355.11"/>
  </r>
  <r>
    <x v="0"/>
    <n v="22963"/>
    <x v="53"/>
    <n v="114"/>
    <s v="Godderis Automotive Group"/>
    <n v="5"/>
    <x v="0"/>
    <s v="A2119"/>
    <x v="29"/>
    <n v="1"/>
    <n v="250"/>
    <n v="250"/>
    <x v="1"/>
    <n v="93.81"/>
    <x v="0"/>
    <x v="2"/>
    <x v="2"/>
    <n v="93.81"/>
    <n v="250"/>
    <n v="156.19"/>
  </r>
  <r>
    <x v="0"/>
    <n v="22964"/>
    <x v="53"/>
    <n v="115"/>
    <s v="Briggs Motoring Company"/>
    <n v="1"/>
    <x v="0"/>
    <s v="P1307"/>
    <x v="14"/>
    <n v="2"/>
    <n v="2400"/>
    <n v="2400"/>
    <x v="1"/>
    <n v="1320.2"/>
    <x v="0"/>
    <x v="0"/>
    <x v="1"/>
    <n v="2640.4"/>
    <n v="4800"/>
    <n v="2159.6"/>
  </r>
  <r>
    <x v="0"/>
    <n v="22965"/>
    <x v="53"/>
    <n v="115"/>
    <s v="Briggs Motoring Company"/>
    <n v="1"/>
    <x v="0"/>
    <s v="C5102"/>
    <x v="13"/>
    <n v="20"/>
    <n v="35"/>
    <n v="35"/>
    <x v="0"/>
    <n v="6.37"/>
    <x v="0"/>
    <x v="0"/>
    <x v="0"/>
    <n v="127.4"/>
    <n v="700"/>
    <n v="572.6"/>
  </r>
  <r>
    <x v="0"/>
    <n v="22965"/>
    <x v="53"/>
    <n v="115"/>
    <s v="Briggs Motoring Company"/>
    <n v="2"/>
    <x v="0"/>
    <s v="A2111"/>
    <x v="18"/>
    <n v="2"/>
    <n v="30"/>
    <n v="30"/>
    <x v="0"/>
    <n v="6.3"/>
    <x v="0"/>
    <x v="0"/>
    <x v="2"/>
    <n v="12.6"/>
    <n v="60"/>
    <n v="47.4"/>
  </r>
  <r>
    <x v="0"/>
    <n v="22965"/>
    <x v="53"/>
    <n v="115"/>
    <s v="Briggs Motoring Company"/>
    <n v="2"/>
    <x v="0"/>
    <s v="C5110"/>
    <x v="1"/>
    <n v="5"/>
    <n v="70"/>
    <n v="70"/>
    <x v="0"/>
    <n v="13.92"/>
    <x v="0"/>
    <x v="0"/>
    <x v="0"/>
    <n v="69.599999999999994"/>
    <n v="350"/>
    <n v="280.39999999999998"/>
  </r>
  <r>
    <x v="0"/>
    <n v="22965"/>
    <x v="53"/>
    <n v="115"/>
    <s v="Briggs Motoring Company"/>
    <n v="3"/>
    <x v="0"/>
    <s v="A2114"/>
    <x v="10"/>
    <n v="2"/>
    <n v="30"/>
    <n v="30"/>
    <x v="0"/>
    <n v="11.59"/>
    <x v="0"/>
    <x v="0"/>
    <x v="2"/>
    <n v="23.18"/>
    <n v="60"/>
    <n v="36.82"/>
  </r>
  <r>
    <x v="0"/>
    <n v="22965"/>
    <x v="53"/>
    <n v="115"/>
    <s v="Briggs Motoring Company"/>
    <n v="4"/>
    <x v="0"/>
    <s v="A2117"/>
    <x v="12"/>
    <n v="2"/>
    <n v="60"/>
    <n v="60"/>
    <x v="0"/>
    <n v="17.22"/>
    <x v="0"/>
    <x v="0"/>
    <x v="2"/>
    <n v="34.44"/>
    <n v="120"/>
    <n v="85.56"/>
  </r>
  <r>
    <x v="0"/>
    <n v="22965"/>
    <x v="53"/>
    <n v="115"/>
    <s v="Briggs Motoring Company"/>
    <n v="5"/>
    <x v="0"/>
    <s v="A2119"/>
    <x v="29"/>
    <n v="1"/>
    <n v="250"/>
    <n v="250"/>
    <x v="1"/>
    <n v="93.81"/>
    <x v="0"/>
    <x v="0"/>
    <x v="2"/>
    <n v="93.81"/>
    <n v="250"/>
    <n v="156.19"/>
  </r>
  <r>
    <x v="0"/>
    <n v="22966"/>
    <x v="53"/>
    <n v="116"/>
    <s v="McAndrews Automotive"/>
    <n v="1"/>
    <x v="0"/>
    <s v="C5103"/>
    <x v="2"/>
    <n v="50"/>
    <n v="30"/>
    <n v="30"/>
    <x v="0"/>
    <n v="6.9"/>
    <x v="0"/>
    <x v="0"/>
    <x v="0"/>
    <n v="345"/>
    <n v="1500"/>
    <n v="1155"/>
  </r>
  <r>
    <x v="0"/>
    <n v="22966"/>
    <x v="53"/>
    <n v="116"/>
    <s v="McAndrews Automotive"/>
    <n v="2"/>
    <x v="0"/>
    <s v="C5110"/>
    <x v="1"/>
    <n v="20"/>
    <n v="70"/>
    <n v="70"/>
    <x v="0"/>
    <n v="13.92"/>
    <x v="0"/>
    <x v="0"/>
    <x v="0"/>
    <n v="278.39999999999998"/>
    <n v="1400"/>
    <n v="1121.5999999999999"/>
  </r>
  <r>
    <x v="0"/>
    <n v="22966"/>
    <x v="53"/>
    <n v="116"/>
    <s v="McAndrews Automotive"/>
    <n v="3"/>
    <x v="0"/>
    <s v="A2119"/>
    <x v="29"/>
    <n v="2"/>
    <n v="250"/>
    <n v="250"/>
    <x v="1"/>
    <n v="93.81"/>
    <x v="0"/>
    <x v="0"/>
    <x v="2"/>
    <n v="187.62"/>
    <n v="500"/>
    <n v="312.38"/>
  </r>
  <r>
    <x v="0"/>
    <n v="22966"/>
    <x v="53"/>
    <n v="116"/>
    <s v="McAndrews Automotive"/>
    <n v="4"/>
    <x v="0"/>
    <s v="C5105"/>
    <x v="33"/>
    <n v="100"/>
    <n v="12"/>
    <n v="12"/>
    <x v="0"/>
    <n v="3.43"/>
    <x v="0"/>
    <x v="0"/>
    <x v="0"/>
    <n v="343"/>
    <n v="1200"/>
    <n v="857"/>
  </r>
  <r>
    <x v="0"/>
    <n v="22966"/>
    <x v="53"/>
    <n v="116"/>
    <s v="McAndrews Automotive"/>
    <n v="5"/>
    <x v="0"/>
    <s v="C5113"/>
    <x v="19"/>
    <n v="25"/>
    <n v="100"/>
    <n v="100"/>
    <x v="1"/>
    <n v="27.17"/>
    <x v="0"/>
    <x v="0"/>
    <x v="0"/>
    <n v="679.25"/>
    <n v="2500"/>
    <n v="1820.75"/>
  </r>
  <r>
    <x v="0"/>
    <n v="22967"/>
    <x v="53"/>
    <n v="117"/>
    <s v="Sullivan Motors"/>
    <n v="1"/>
    <x v="0"/>
    <s v="C5103"/>
    <x v="2"/>
    <n v="12"/>
    <n v="30"/>
    <n v="30"/>
    <x v="0"/>
    <n v="6.9"/>
    <x v="0"/>
    <x v="1"/>
    <x v="0"/>
    <n v="82.800000000000011"/>
    <n v="360"/>
    <n v="277.2"/>
  </r>
  <r>
    <x v="0"/>
    <n v="22967"/>
    <x v="53"/>
    <n v="117"/>
    <s v="Sullivan Motors"/>
    <n v="2"/>
    <x v="0"/>
    <s v="C5110"/>
    <x v="1"/>
    <n v="12"/>
    <n v="70"/>
    <n v="70"/>
    <x v="0"/>
    <n v="13.92"/>
    <x v="0"/>
    <x v="1"/>
    <x v="0"/>
    <n v="167.04"/>
    <n v="840"/>
    <n v="672.96"/>
  </r>
  <r>
    <x v="0"/>
    <n v="22968"/>
    <x v="53"/>
    <n v="118"/>
    <s v="First Trust Financial"/>
    <n v="1"/>
    <x v="0"/>
    <s v="P1205"/>
    <x v="34"/>
    <n v="10"/>
    <n v="350"/>
    <n v="350"/>
    <x v="1"/>
    <n v="212.19"/>
    <x v="1"/>
    <x v="1"/>
    <x v="1"/>
    <n v="2121.9"/>
    <n v="3500"/>
    <n v="1378.1"/>
  </r>
  <r>
    <x v="0"/>
    <n v="22969"/>
    <x v="53"/>
    <n v="119"/>
    <s v="Federal Tech Mortgage Brokers"/>
    <n v="1"/>
    <x v="0"/>
    <s v="C5113"/>
    <x v="19"/>
    <n v="5"/>
    <n v="100"/>
    <n v="100"/>
    <x v="1"/>
    <n v="27.17"/>
    <x v="1"/>
    <x v="1"/>
    <x v="0"/>
    <n v="135.85000000000002"/>
    <n v="500"/>
    <n v="364.15"/>
  </r>
  <r>
    <x v="0"/>
    <n v="22969"/>
    <x v="53"/>
    <n v="119"/>
    <s v="Federal Tech Mortgage Brokers"/>
    <n v="2"/>
    <x v="0"/>
    <s v="C5114"/>
    <x v="20"/>
    <n v="5"/>
    <n v="140"/>
    <n v="140"/>
    <x v="1"/>
    <n v="34.299999999999997"/>
    <x v="1"/>
    <x v="1"/>
    <x v="0"/>
    <n v="171.5"/>
    <n v="700"/>
    <n v="528.5"/>
  </r>
  <r>
    <x v="0"/>
    <n v="22969"/>
    <x v="53"/>
    <n v="119"/>
    <s v="Federal Tech Mortgage Brokers"/>
    <n v="3"/>
    <x v="0"/>
    <s v="C5106"/>
    <x v="21"/>
    <n v="5"/>
    <n v="25"/>
    <n v="25"/>
    <x v="0"/>
    <n v="5.16"/>
    <x v="1"/>
    <x v="1"/>
    <x v="0"/>
    <n v="25.8"/>
    <n v="125"/>
    <n v="99.2"/>
  </r>
  <r>
    <x v="0"/>
    <n v="22969"/>
    <x v="53"/>
    <n v="119"/>
    <s v="Federal Tech Mortgage Brokers"/>
    <n v="4"/>
    <x v="0"/>
    <s v="C5108"/>
    <x v="16"/>
    <n v="5"/>
    <n v="24"/>
    <n v="24"/>
    <x v="0"/>
    <n v="7.09"/>
    <x v="1"/>
    <x v="1"/>
    <x v="0"/>
    <n v="35.450000000000003"/>
    <n v="120"/>
    <n v="84.55"/>
  </r>
  <r>
    <x v="0"/>
    <n v="22969"/>
    <x v="53"/>
    <n v="119"/>
    <s v="Federal Tech Mortgage Brokers"/>
    <n v="5"/>
    <x v="0"/>
    <s v="A2119"/>
    <x v="29"/>
    <n v="1"/>
    <n v="250"/>
    <n v="250"/>
    <x v="1"/>
    <n v="93.81"/>
    <x v="1"/>
    <x v="1"/>
    <x v="2"/>
    <n v="93.81"/>
    <n v="250"/>
    <n v="156.19"/>
  </r>
  <r>
    <x v="0"/>
    <n v="22970"/>
    <x v="54"/>
    <n v="103"/>
    <s v="Hardman Financial Management"/>
    <n v="1"/>
    <x v="0"/>
    <s v="A2111"/>
    <x v="18"/>
    <n v="1"/>
    <n v="30"/>
    <n v="30"/>
    <x v="0"/>
    <n v="6.3"/>
    <x v="1"/>
    <x v="3"/>
    <x v="2"/>
    <n v="6.3"/>
    <n v="30"/>
    <n v="23.7"/>
  </r>
  <r>
    <x v="0"/>
    <n v="22970"/>
    <x v="54"/>
    <n v="103"/>
    <s v="Hardman Financial Management"/>
    <n v="2"/>
    <x v="0"/>
    <s v="A2114"/>
    <x v="10"/>
    <n v="1"/>
    <n v="30"/>
    <n v="30"/>
    <x v="0"/>
    <n v="11.59"/>
    <x v="1"/>
    <x v="3"/>
    <x v="2"/>
    <n v="11.59"/>
    <n v="30"/>
    <n v="18.41"/>
  </r>
  <r>
    <x v="0"/>
    <n v="22970"/>
    <x v="54"/>
    <n v="103"/>
    <s v="Hardman Financial Management"/>
    <n v="3"/>
    <x v="0"/>
    <s v="A2116"/>
    <x v="6"/>
    <n v="1"/>
    <n v="40"/>
    <n v="40"/>
    <x v="0"/>
    <n v="12.33"/>
    <x v="1"/>
    <x v="3"/>
    <x v="2"/>
    <n v="12.33"/>
    <n v="40"/>
    <n v="27.67"/>
  </r>
  <r>
    <x v="0"/>
    <n v="22971"/>
    <x v="54"/>
    <n v="118"/>
    <s v="First Trust Financial"/>
    <n v="1"/>
    <x v="0"/>
    <s v="A2111"/>
    <x v="18"/>
    <n v="10"/>
    <n v="30"/>
    <n v="30"/>
    <x v="0"/>
    <n v="6.3"/>
    <x v="1"/>
    <x v="1"/>
    <x v="2"/>
    <n v="63"/>
    <n v="300"/>
    <n v="237"/>
  </r>
  <r>
    <x v="0"/>
    <n v="22971"/>
    <x v="54"/>
    <n v="118"/>
    <s v="First Trust Financial"/>
    <n v="2"/>
    <x v="0"/>
    <s v="A2114"/>
    <x v="10"/>
    <n v="10"/>
    <n v="30"/>
    <n v="30"/>
    <x v="0"/>
    <n v="11.59"/>
    <x v="1"/>
    <x v="1"/>
    <x v="2"/>
    <n v="115.9"/>
    <n v="300"/>
    <n v="184.1"/>
  </r>
  <r>
    <x v="0"/>
    <n v="22971"/>
    <x v="54"/>
    <n v="118"/>
    <s v="First Trust Financial"/>
    <n v="3"/>
    <x v="0"/>
    <s v="A2116"/>
    <x v="6"/>
    <n v="10"/>
    <n v="40"/>
    <n v="40"/>
    <x v="0"/>
    <n v="12.33"/>
    <x v="1"/>
    <x v="1"/>
    <x v="2"/>
    <n v="123.3"/>
    <n v="400"/>
    <n v="276.7"/>
  </r>
  <r>
    <x v="1"/>
    <n v="22972"/>
    <x v="55"/>
    <n v="118"/>
    <s v="First Trust Financial"/>
    <n v="1"/>
    <x v="4"/>
    <s v="P1205"/>
    <x v="34"/>
    <n v="7"/>
    <n v="350"/>
    <n v="-350"/>
    <x v="3"/>
    <n v="212.19"/>
    <x v="1"/>
    <x v="1"/>
    <x v="1"/>
    <n v="1485.33"/>
    <n v="-2450"/>
    <n v="-3935.33"/>
  </r>
  <r>
    <x v="1"/>
    <n v="22972"/>
    <x v="55"/>
    <n v="118"/>
    <s v="First Trust Financial"/>
    <n v="2"/>
    <x v="2"/>
    <s v="P1205"/>
    <x v="34"/>
    <n v="2"/>
    <n v="350"/>
    <n v="-350"/>
    <x v="3"/>
    <n v="212.19"/>
    <x v="1"/>
    <x v="1"/>
    <x v="1"/>
    <n v="424.38"/>
    <n v="-700"/>
    <n v="-1124.3800000000001"/>
  </r>
  <r>
    <x v="0"/>
    <n v="22973"/>
    <x v="56"/>
    <n v="118"/>
    <s v="First Trust Financial"/>
    <n v="1"/>
    <x v="0"/>
    <s v="P1205"/>
    <x v="34"/>
    <n v="9"/>
    <n v="350"/>
    <n v="350"/>
    <x v="1"/>
    <n v="212.19"/>
    <x v="1"/>
    <x v="1"/>
    <x v="1"/>
    <n v="1909.71"/>
    <n v="3150"/>
    <n v="1240.29"/>
  </r>
  <r>
    <x v="0"/>
    <n v="22974"/>
    <x v="57"/>
    <n v="110"/>
    <s v="Gulf Coast Motors"/>
    <n v="1"/>
    <x v="0"/>
    <s v="C5113"/>
    <x v="19"/>
    <n v="10"/>
    <n v="100"/>
    <n v="100"/>
    <x v="1"/>
    <n v="27.17"/>
    <x v="0"/>
    <x v="4"/>
    <x v="0"/>
    <n v="271.70000000000005"/>
    <n v="1000"/>
    <n v="728.3"/>
  </r>
  <r>
    <x v="0"/>
    <n v="22974"/>
    <x v="57"/>
    <n v="110"/>
    <s v="Gulf Coast Motors"/>
    <n v="2"/>
    <x v="0"/>
    <s v="C5114"/>
    <x v="20"/>
    <n v="10"/>
    <n v="140"/>
    <n v="140"/>
    <x v="1"/>
    <n v="34.299999999999997"/>
    <x v="0"/>
    <x v="4"/>
    <x v="0"/>
    <n v="343"/>
    <n v="1400"/>
    <n v="1057"/>
  </r>
  <r>
    <x v="0"/>
    <n v="22974"/>
    <x v="57"/>
    <n v="110"/>
    <s v="Gulf Coast Motors"/>
    <n v="3"/>
    <x v="0"/>
    <s v="C5109"/>
    <x v="24"/>
    <n v="24"/>
    <n v="50"/>
    <n v="50"/>
    <x v="0"/>
    <n v="11.67"/>
    <x v="0"/>
    <x v="4"/>
    <x v="0"/>
    <n v="280.08"/>
    <n v="1200"/>
    <n v="919.92000000000007"/>
  </r>
  <r>
    <x v="0"/>
    <n v="22974"/>
    <x v="57"/>
    <n v="110"/>
    <s v="Gulf Coast Motors"/>
    <n v="4"/>
    <x v="0"/>
    <s v="C5103"/>
    <x v="2"/>
    <n v="24"/>
    <n v="30"/>
    <n v="30"/>
    <x v="0"/>
    <n v="6.9"/>
    <x v="0"/>
    <x v="4"/>
    <x v="0"/>
    <n v="165.60000000000002"/>
    <n v="720"/>
    <n v="554.4"/>
  </r>
  <r>
    <x v="0"/>
    <n v="22975"/>
    <x v="58"/>
    <n v="111"/>
    <s v="Birmingham Automotive Group"/>
    <n v="1"/>
    <x v="0"/>
    <s v="C5111"/>
    <x v="30"/>
    <n v="15"/>
    <n v="40"/>
    <n v="40"/>
    <x v="0"/>
    <n v="5.4"/>
    <x v="0"/>
    <x v="4"/>
    <x v="0"/>
    <n v="81"/>
    <n v="600"/>
    <n v="519"/>
  </r>
  <r>
    <x v="0"/>
    <n v="22975"/>
    <x v="58"/>
    <n v="111"/>
    <s v="Birmingham Automotive Group"/>
    <n v="2"/>
    <x v="0"/>
    <s v="C5112"/>
    <x v="31"/>
    <n v="15"/>
    <n v="70"/>
    <n v="70"/>
    <x v="0"/>
    <n v="8.3699999999999992"/>
    <x v="0"/>
    <x v="4"/>
    <x v="0"/>
    <n v="125.54999999999998"/>
    <n v="1050"/>
    <n v="924.4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85AEA5F-0874-4B7B-8D5B-F43A31A5BBFD}" name="PivotTable1" cacheId="1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A4" firstHeaderRow="1" firstDataRow="1" firstDataCol="0"/>
  <pivotFields count="21">
    <pivotField showAll="0"/>
    <pivotField showAll="0"/>
    <pivotField numFmtId="167" showAll="0">
      <items count="6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t="default"/>
      </items>
    </pivotField>
    <pivotField showAll="0"/>
    <pivotField showAll="0"/>
    <pivotField showAll="0"/>
    <pivotField showAll="0"/>
    <pivotField showAll="0"/>
    <pivotField showAll="0"/>
    <pivotField showAll="0"/>
    <pivotField numFmtId="169" showAll="0"/>
    <pivotField showAll="0"/>
    <pivotField showAll="0"/>
    <pivotField showAll="0"/>
    <pivotField showAll="0">
      <items count="3">
        <item x="0"/>
        <item x="1"/>
        <item t="default"/>
      </items>
    </pivotField>
    <pivotField showAll="0">
      <items count="7">
        <item x="4"/>
        <item x="3"/>
        <item x="1"/>
        <item x="2"/>
        <item x="5"/>
        <item x="0"/>
        <item t="default"/>
      </items>
    </pivotField>
    <pivotField showAll="0"/>
    <pivotField numFmtId="169" showAll="0"/>
    <pivotField numFmtId="169" showAll="0"/>
    <pivotField numFmtId="169" showAll="0"/>
    <pivotField dataField="1" dragToRow="0" dragToCol="0" dragToPage="0" showAll="0" defaultSubtotal="0"/>
  </pivotFields>
  <rowItems count="1">
    <i/>
  </rowItems>
  <colItems count="1">
    <i/>
  </colItems>
  <dataFields count="1">
    <dataField name="Sum of Profit Margin" fld="20" baseField="0" baseItem="0" numFmtId="10"/>
  </dataFields>
  <formats count="1">
    <format dxfId="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73CC738-9969-4574-A972-B17A2F80DBF9}" name="PivotTable2" cacheId="13" applyNumberFormats="0" applyBorderFormats="0" applyFontFormats="0" applyPatternFormats="0" applyAlignmentFormats="0" applyWidthHeightFormats="1" dataCaption="Values" missingCaption="0" updatedVersion="8" minRefreshableVersion="5" useAutoFormatting="1" itemPrintTitles="1" createdVersion="8" indent="0" outline="1" outlineData="1" multipleFieldFilters="0" chartFormat="46">
  <location ref="A3:D11" firstHeaderRow="1" firstDataRow="2" firstDataCol="1"/>
  <pivotFields count="21">
    <pivotField showAll="0"/>
    <pivotField showAll="0"/>
    <pivotField numFmtId="167" showAll="0">
      <items count="6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t="default"/>
      </items>
    </pivotField>
    <pivotField showAll="0"/>
    <pivotField showAll="0"/>
    <pivotField showAll="0"/>
    <pivotField showAll="0"/>
    <pivotField showAll="0"/>
    <pivotField showAll="0"/>
    <pivotField showAll="0"/>
    <pivotField numFmtId="169" showAll="0"/>
    <pivotField showAll="0"/>
    <pivotField showAll="0">
      <items count="5">
        <item x="0"/>
        <item x="2"/>
        <item x="1"/>
        <item x="3"/>
        <item t="default"/>
      </items>
    </pivotField>
    <pivotField showAll="0"/>
    <pivotField axis="axisCol" showAll="0">
      <items count="3">
        <item x="0"/>
        <item x="1"/>
        <item t="default"/>
      </items>
    </pivotField>
    <pivotField axis="axisRow" showAll="0">
      <items count="7">
        <item x="4"/>
        <item x="3"/>
        <item x="1"/>
        <item x="2"/>
        <item x="5"/>
        <item x="0"/>
        <item t="default"/>
      </items>
    </pivotField>
    <pivotField showAll="0">
      <items count="4">
        <item x="2"/>
        <item x="0"/>
        <item x="1"/>
        <item t="default"/>
      </items>
    </pivotField>
    <pivotField numFmtId="169" showAll="0"/>
    <pivotField dataField="1" numFmtId="169" showAll="0"/>
    <pivotField numFmtId="169" showAll="0"/>
    <pivotField dragToRow="0" dragToCol="0" dragToPage="0" showAll="0" defaultSubtotal="0"/>
  </pivotFields>
  <rowFields count="1">
    <field x="15"/>
  </rowFields>
  <rowItems count="7">
    <i>
      <x/>
    </i>
    <i>
      <x v="1"/>
    </i>
    <i>
      <x v="2"/>
    </i>
    <i>
      <x v="3"/>
    </i>
    <i>
      <x v="4"/>
    </i>
    <i>
      <x v="5"/>
    </i>
    <i t="grand">
      <x/>
    </i>
  </rowItems>
  <colFields count="1">
    <field x="14"/>
  </colFields>
  <colItems count="3">
    <i>
      <x/>
    </i>
    <i>
      <x v="1"/>
    </i>
    <i t="grand">
      <x/>
    </i>
  </colItems>
  <dataFields count="1">
    <dataField name="Sum of Revenue" fld="18" baseField="0" baseItem="0" numFmtId="170"/>
  </dataFields>
  <formats count="1">
    <format dxfId="2">
      <pivotArea outline="0" collapsedLevelsAreSubtotals="1" fieldPosition="0"/>
    </format>
  </formats>
  <chartFormats count="3">
    <chartFormat chart="28" format="4" series="1">
      <pivotArea type="data" outline="0" fieldPosition="0">
        <references count="2">
          <reference field="4294967294" count="1" selected="0">
            <x v="0"/>
          </reference>
          <reference field="14" count="1" selected="0">
            <x v="0"/>
          </reference>
        </references>
      </pivotArea>
    </chartFormat>
    <chartFormat chart="28" format="5" series="1">
      <pivotArea type="data" outline="0" fieldPosition="0">
        <references count="2">
          <reference field="4294967294" count="1" selected="0">
            <x v="0"/>
          </reference>
          <reference field="14" count="1" selected="0">
            <x v="1"/>
          </reference>
        </references>
      </pivotArea>
    </chartFormat>
    <chartFormat chart="28"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4521832-E51B-4A4B-849A-2D35984C8B8F}" name="PivotTable3" cacheId="1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2">
  <location ref="A3:E11" firstHeaderRow="1" firstDataRow="2" firstDataCol="1"/>
  <pivotFields count="21">
    <pivotField showAll="0"/>
    <pivotField showAll="0"/>
    <pivotField numFmtId="167" showAll="0">
      <items count="6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t="default"/>
      </items>
    </pivotField>
    <pivotField showAll="0"/>
    <pivotField showAll="0"/>
    <pivotField showAll="0"/>
    <pivotField showAll="0"/>
    <pivotField showAll="0"/>
    <pivotField showAll="0"/>
    <pivotField showAll="0"/>
    <pivotField numFmtId="169" showAll="0"/>
    <pivotField showAll="0"/>
    <pivotField showAll="0">
      <items count="5">
        <item x="0"/>
        <item x="2"/>
        <item x="1"/>
        <item x="3"/>
        <item t="default"/>
      </items>
    </pivotField>
    <pivotField showAll="0"/>
    <pivotField showAll="0">
      <items count="3">
        <item x="0"/>
        <item x="1"/>
        <item t="default"/>
      </items>
    </pivotField>
    <pivotField axis="axisRow" showAll="0">
      <items count="7">
        <item x="4"/>
        <item x="3"/>
        <item x="1"/>
        <item x="2"/>
        <item x="5"/>
        <item x="0"/>
        <item t="default"/>
      </items>
    </pivotField>
    <pivotField axis="axisCol" showAll="0">
      <items count="4">
        <item x="2"/>
        <item x="0"/>
        <item x="1"/>
        <item t="default"/>
      </items>
    </pivotField>
    <pivotField numFmtId="169" showAll="0"/>
    <pivotField dataField="1" numFmtId="169" showAll="0"/>
    <pivotField numFmtId="169" showAll="0"/>
    <pivotField dragToRow="0" dragToCol="0" dragToPage="0" showAll="0" defaultSubtotal="0"/>
  </pivotFields>
  <rowFields count="1">
    <field x="15"/>
  </rowFields>
  <rowItems count="7">
    <i>
      <x/>
    </i>
    <i>
      <x v="1"/>
    </i>
    <i>
      <x v="2"/>
    </i>
    <i>
      <x v="3"/>
    </i>
    <i>
      <x v="4"/>
    </i>
    <i>
      <x v="5"/>
    </i>
    <i t="grand">
      <x/>
    </i>
  </rowItems>
  <colFields count="1">
    <field x="16"/>
  </colFields>
  <colItems count="4">
    <i>
      <x/>
    </i>
    <i>
      <x v="1"/>
    </i>
    <i>
      <x v="2"/>
    </i>
    <i t="grand">
      <x/>
    </i>
  </colItems>
  <dataFields count="1">
    <dataField name="Sum of Revenue" fld="18" baseField="0" baseItem="0" numFmtId="170"/>
  </dataFields>
  <formats count="1">
    <format dxfId="1">
      <pivotArea outline="0" collapsedLevelsAreSubtotals="1" fieldPosition="0"/>
    </format>
  </formats>
  <chartFormats count="4">
    <chartFormat chart="22" format="6" series="1">
      <pivotArea type="data" outline="0" fieldPosition="0">
        <references count="2">
          <reference field="4294967294" count="1" selected="0">
            <x v="0"/>
          </reference>
          <reference field="16" count="1" selected="0">
            <x v="0"/>
          </reference>
        </references>
      </pivotArea>
    </chartFormat>
    <chartFormat chart="22" format="7" series="1">
      <pivotArea type="data" outline="0" fieldPosition="0">
        <references count="2">
          <reference field="4294967294" count="1" selected="0">
            <x v="0"/>
          </reference>
          <reference field="16" count="1" selected="0">
            <x v="1"/>
          </reference>
        </references>
      </pivotArea>
    </chartFormat>
    <chartFormat chart="22" format="8" series="1">
      <pivotArea type="data" outline="0" fieldPosition="0">
        <references count="2">
          <reference field="4294967294" count="1" selected="0">
            <x v="0"/>
          </reference>
          <reference field="16" count="1" selected="0">
            <x v="2"/>
          </reference>
        </references>
      </pivotArea>
    </chartFormat>
    <chartFormat chart="22"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3779561-D9DC-4871-B52F-08062493198B}" name="PivotTable5" cacheId="13" applyNumberFormats="0" applyBorderFormats="0" applyFontFormats="0" applyPatternFormats="0" applyAlignmentFormats="0" applyWidthHeightFormats="1" dataCaption="Values" missingCaption="0" updatedVersion="8" minRefreshableVersion="5" useAutoFormatting="1" itemPrintTitles="1" createdVersion="8" indent="0" outline="1" outlineData="1" multipleFieldFilters="0" chartFormat="41">
  <location ref="A3:G12" firstHeaderRow="1" firstDataRow="3" firstDataCol="1" rowPageCount="1" colPageCount="1"/>
  <pivotFields count="21">
    <pivotField showAll="0"/>
    <pivotField showAll="0"/>
    <pivotField numFmtId="167" showAll="0">
      <items count="6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t="default"/>
      </items>
    </pivotField>
    <pivotField showAll="0"/>
    <pivotField showAll="0"/>
    <pivotField showAll="0"/>
    <pivotField showAll="0"/>
    <pivotField showAll="0"/>
    <pivotField showAll="0"/>
    <pivotField showAll="0"/>
    <pivotField numFmtId="169" showAll="0"/>
    <pivotField showAll="0"/>
    <pivotField axis="axisPage" multipleItemSelectionAllowed="1" showAll="0">
      <items count="5">
        <item x="0"/>
        <item x="2"/>
        <item x="1"/>
        <item x="3"/>
        <item t="default"/>
      </items>
    </pivotField>
    <pivotField showAll="0"/>
    <pivotField axis="axisCol" showAll="0">
      <items count="3">
        <item x="0"/>
        <item x="1"/>
        <item t="default"/>
      </items>
    </pivotField>
    <pivotField axis="axisRow" showAll="0">
      <items count="7">
        <item x="4"/>
        <item x="3"/>
        <item x="1"/>
        <item x="2"/>
        <item x="5"/>
        <item x="0"/>
        <item t="default"/>
      </items>
    </pivotField>
    <pivotField showAll="0">
      <items count="4">
        <item x="2"/>
        <item x="0"/>
        <item x="1"/>
        <item t="default"/>
      </items>
    </pivotField>
    <pivotField dataField="1" numFmtId="169" showAll="0"/>
    <pivotField dataField="1" numFmtId="169" showAll="0"/>
    <pivotField numFmtId="169" showAll="0"/>
    <pivotField dragToRow="0" dragToCol="0" dragToPage="0" showAll="0" defaultSubtotal="0"/>
  </pivotFields>
  <rowFields count="1">
    <field x="15"/>
  </rowFields>
  <rowItems count="7">
    <i>
      <x/>
    </i>
    <i>
      <x v="1"/>
    </i>
    <i>
      <x v="2"/>
    </i>
    <i>
      <x v="3"/>
    </i>
    <i>
      <x v="4"/>
    </i>
    <i>
      <x v="5"/>
    </i>
    <i t="grand">
      <x/>
    </i>
  </rowItems>
  <colFields count="2">
    <field x="14"/>
    <field x="-2"/>
  </colFields>
  <colItems count="6">
    <i>
      <x/>
      <x/>
    </i>
    <i r="1" i="1">
      <x v="1"/>
    </i>
    <i>
      <x v="1"/>
      <x/>
    </i>
    <i r="1" i="1">
      <x v="1"/>
    </i>
    <i t="grand">
      <x/>
    </i>
    <i t="grand" i="1">
      <x/>
    </i>
  </colItems>
  <pageFields count="1">
    <pageField fld="12" hier="-1"/>
  </pageFields>
  <dataFields count="2">
    <dataField name="Sum of Cost" fld="17" baseField="0" baseItem="0" numFmtId="170"/>
    <dataField name="Sum of Revenue" fld="18" baseField="0" baseItem="0"/>
  </dataFields>
  <formats count="1">
    <format dxfId="0">
      <pivotArea outline="0" collapsedLevelsAreSubtotals="1" fieldPosition="0"/>
    </format>
  </formats>
  <chartFormats count="6">
    <chartFormat chart="23" format="8" series="1">
      <pivotArea type="data" outline="0" fieldPosition="0">
        <references count="2">
          <reference field="4294967294" count="1" selected="0">
            <x v="0"/>
          </reference>
          <reference field="14" count="1" selected="0">
            <x v="0"/>
          </reference>
        </references>
      </pivotArea>
    </chartFormat>
    <chartFormat chart="23" format="9" series="1">
      <pivotArea type="data" outline="0" fieldPosition="0">
        <references count="2">
          <reference field="4294967294" count="1" selected="0">
            <x v="1"/>
          </reference>
          <reference field="14" count="1" selected="0">
            <x v="0"/>
          </reference>
        </references>
      </pivotArea>
    </chartFormat>
    <chartFormat chart="23" format="10" series="1">
      <pivotArea type="data" outline="0" fieldPosition="0">
        <references count="2">
          <reference field="4294967294" count="1" selected="0">
            <x v="0"/>
          </reference>
          <reference field="14" count="1" selected="0">
            <x v="1"/>
          </reference>
        </references>
      </pivotArea>
    </chartFormat>
    <chartFormat chart="23" format="11" series="1">
      <pivotArea type="data" outline="0" fieldPosition="0">
        <references count="2">
          <reference field="4294967294" count="1" selected="0">
            <x v="1"/>
          </reference>
          <reference field="14" count="1" selected="0">
            <x v="1"/>
          </reference>
        </references>
      </pivotArea>
    </chartFormat>
    <chartFormat chart="23" format="12" series="1">
      <pivotArea type="data" grandCol="1" outline="0" fieldPosition="0">
        <references count="1">
          <reference field="4294967294" count="1" selected="0">
            <x v="0"/>
          </reference>
        </references>
      </pivotArea>
    </chartFormat>
    <chartFormat chart="23" format="13" series="1">
      <pivotArea type="data" grandCol="1"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2970C2C-502B-44EC-BFB4-2FA61C5BE0A0}" name="PivotTable1" cacheId="1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0">
  <location ref="A3:B8" firstHeaderRow="1" firstDataRow="1" firstDataCol="1" rowPageCount="1" colPageCount="1"/>
  <pivotFields count="21">
    <pivotField axis="axisPage" showAll="0">
      <items count="3">
        <item x="0"/>
        <item x="1"/>
        <item t="default"/>
      </items>
    </pivotField>
    <pivotField showAll="0"/>
    <pivotField numFmtId="167" showAll="0">
      <items count="6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t="default"/>
      </items>
    </pivotField>
    <pivotField showAll="0"/>
    <pivotField showAll="0"/>
    <pivotField showAll="0"/>
    <pivotField axis="axisRow" showAll="0">
      <items count="6">
        <item sd="0" x="1"/>
        <item sd="0" x="4"/>
        <item sd="0" x="2"/>
        <item sd="0" x="3"/>
        <item sd="0" x="0"/>
        <item t="default" sd="0"/>
      </items>
    </pivotField>
    <pivotField showAll="0"/>
    <pivotField axis="axisRow" showAll="0">
      <items count="36">
        <item x="30"/>
        <item x="19"/>
        <item x="7"/>
        <item x="27"/>
        <item x="29"/>
        <item x="31"/>
        <item x="20"/>
        <item x="8"/>
        <item x="3"/>
        <item x="11"/>
        <item x="15"/>
        <item x="25"/>
        <item x="34"/>
        <item x="32"/>
        <item x="28"/>
        <item x="17"/>
        <item x="23"/>
        <item x="22"/>
        <item x="14"/>
        <item x="2"/>
        <item x="0"/>
        <item x="13"/>
        <item x="33"/>
        <item x="16"/>
        <item x="21"/>
        <item x="5"/>
        <item x="10"/>
        <item x="12"/>
        <item x="6"/>
        <item x="1"/>
        <item x="24"/>
        <item x="4"/>
        <item x="9"/>
        <item x="26"/>
        <item x="18"/>
        <item t="default"/>
      </items>
    </pivotField>
    <pivotField showAll="0"/>
    <pivotField numFmtId="169" showAll="0"/>
    <pivotField showAll="0"/>
    <pivotField showAll="0"/>
    <pivotField showAll="0"/>
    <pivotField showAll="0">
      <items count="3">
        <item x="0"/>
        <item x="1"/>
        <item t="default"/>
      </items>
    </pivotField>
    <pivotField showAll="0"/>
    <pivotField showAll="0"/>
    <pivotField numFmtId="169" showAll="0"/>
    <pivotField dataField="1" numFmtId="169" showAll="0"/>
    <pivotField numFmtId="169" showAll="0"/>
    <pivotField dragToRow="0" dragToCol="0" dragToPage="0" showAll="0" defaultSubtotal="0"/>
  </pivotFields>
  <rowFields count="2">
    <field x="6"/>
    <field x="8"/>
  </rowFields>
  <rowItems count="5">
    <i>
      <x/>
    </i>
    <i>
      <x v="1"/>
    </i>
    <i>
      <x v="2"/>
    </i>
    <i>
      <x v="3"/>
    </i>
    <i t="grand">
      <x/>
    </i>
  </rowItems>
  <colItems count="1">
    <i/>
  </colItems>
  <pageFields count="1">
    <pageField fld="0" item="1" hier="-1"/>
  </pageFields>
  <dataFields count="1">
    <dataField name="Sum of Revenue" fld="18" baseField="0" baseItem="0" numFmtId="169"/>
  </dataFields>
  <chartFormats count="2">
    <chartFormat chart="2" format="0"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Value" xr10:uid="{D8E526E6-06DC-4C7B-963C-59C9B8292E15}" sourceName="Product Value">
  <pivotTables>
    <pivotTable tabId="9" name="PivotTable2"/>
    <pivotTable tabId="12" name="PivotTable5"/>
    <pivotTable tabId="10" name="PivotTable3"/>
  </pivotTables>
  <data>
    <tabular pivotCacheId="1775383440">
      <items count="4">
        <i x="0" s="1"/>
        <i x="2"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Line" xr10:uid="{862E0CA1-EE7D-458C-95B0-8319E6511FB9}" sourceName="Product Line">
  <pivotTables>
    <pivotTable tabId="9" name="PivotTable2"/>
    <pivotTable tabId="12" name="PivotTable5"/>
    <pivotTable tabId="10" name="PivotTable3"/>
  </pivotTables>
  <data>
    <tabular pivotCacheId="1775383440">
      <items count="3">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Region" xr10:uid="{67072932-F9EF-4A2D-9C2B-9D06B3692B3E}" sourceName="Customer Region">
  <pivotTables>
    <pivotTable tabId="9" name="PivotTable2"/>
    <pivotTable tabId="12" name="PivotTable5"/>
    <pivotTable tabId="10" name="PivotTable3"/>
  </pivotTables>
  <data>
    <tabular pivotCacheId="1775383440">
      <items count="6">
        <i x="4" s="1"/>
        <i x="3" s="1"/>
        <i x="1" s="1"/>
        <i x="2" s="1"/>
        <i x="5"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158D6CBC-347D-446D-B150-6E95C8743045}" sourceName="Customer Type">
  <pivotTables>
    <pivotTable tabId="9" name="PivotTable2"/>
    <pivotTable tabId="12" name="PivotTable5"/>
    <pivotTable tabId="10" name="PivotTable3"/>
  </pivotTables>
  <data>
    <tabular pivotCacheId="1775383440">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Value" xr10:uid="{18698BBA-348E-4C15-ADD2-FDBD8F1A4A12}" cache="Slicer_Product_Value" caption="Product Value" style="SlicerStyleDark1" rowHeight="234950"/>
  <slicer name="Product Line" xr10:uid="{81458DC2-B4D9-433C-8025-83E073C50C26}" cache="Slicer_Product_Line" caption="Product Line" style="SlicerStyleDark1" rowHeight="360000"/>
  <slicer name="Customer Region" xr10:uid="{B77285E1-A0B5-4086-8C53-EF28CCFF2CEC}" cache="Slicer_Customer_Region" caption="Customer Region" style="SlicerStyleDark1" rowHeight="360000"/>
  <slicer name="Customer Type" xr10:uid="{40E7FA2F-0738-4586-BD05-578A3BD12BCB}" cache="Slicer_Customer_Type" caption="Customer Type" style="SlicerStyleDark1" rowHeight="360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9B0C87F-C8ED-43F4-A7C3-477A811D1D4A}" name="Products" displayName="Products" ref="A1:D49" totalsRowShown="0" headerRowDxfId="42" dataDxfId="41" tableBorderDxfId="40">
  <autoFilter ref="A1:D49" xr:uid="{D87DF14E-9E08-42DE-897D-BF6F49E6728D}"/>
  <tableColumns count="4">
    <tableColumn id="1" xr3:uid="{590646E8-D31E-4C09-AA90-B45A39AB9597}" name="Part Number" dataDxfId="39"/>
    <tableColumn id="2" xr3:uid="{AD3ABD8F-3433-453B-8D62-BAF811F321CB}" name="Description" dataDxfId="38"/>
    <tableColumn id="3" xr3:uid="{DBDA8ABC-F8D3-49CC-B249-0E0668C83D67}" name="Product Line" dataDxfId="37"/>
    <tableColumn id="4" xr3:uid="{CDAE5525-E12D-4089-A2EE-68F6F3CC3BEA}" name="Product Cost" dataDxfId="3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2B46EA6-AA53-4978-B628-BEE0BC65EEC4}" name="Customers" displayName="Customers" ref="A1:D20" totalsRowShown="0" headerRowDxfId="35" dataDxfId="34" tableBorderDxfId="33">
  <autoFilter ref="A1:D20" xr:uid="{934BE1C7-2421-482C-9F3F-93EF9E0CA1E1}"/>
  <tableColumns count="4">
    <tableColumn id="1" xr3:uid="{C86FED2A-A1CE-4C37-98A2-0E07F3E5D303}" name="Account" dataDxfId="32"/>
    <tableColumn id="2" xr3:uid="{FE2FD63D-87B2-4062-AC66-381D6BA84388}" name="Customer Name" dataDxfId="31"/>
    <tableColumn id="3" xr3:uid="{80429916-27A5-4404-8545-08127F4D3373}" name="State" dataDxfId="30"/>
    <tableColumn id="4" xr3:uid="{8D23E58D-2E8D-48D9-B081-37CFD1C2EE7C}" name="Type" dataDxfId="29"/>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8032033-BBED-427C-9ADC-B66E056290B3}" name="Invoices" displayName="Invoices" ref="A1:W508" totalsRowShown="0" headerRowDxfId="28" tableBorderDxfId="27">
  <autoFilter ref="A1:W508" xr:uid="{333FFCBC-1D3E-40CF-A383-6AC4A0E3A7EB}"/>
  <sortState xmlns:xlrd2="http://schemas.microsoft.com/office/spreadsheetml/2017/richdata2" ref="A22:K501">
    <sortCondition ref="A1:A508"/>
  </sortState>
  <tableColumns count="23">
    <tableColumn id="1" xr3:uid="{36DF9F5D-4497-4146-8F84-5BBE811FBD62}" name="Document Type" dataDxfId="26"/>
    <tableColumn id="2" xr3:uid="{80D886A9-F056-4226-BCF8-C2A7AFBED962}" name="Document Number" dataDxfId="25"/>
    <tableColumn id="3" xr3:uid="{EF1C01C7-5A6C-414E-A3C1-D0F30D330032}" name="Date" dataDxfId="24"/>
    <tableColumn id="4" xr3:uid="{AF41BE5C-D8BA-429B-985E-C94427350EF1}" name="Customer Account" dataDxfId="23"/>
    <tableColumn id="5" xr3:uid="{2B8A27A3-AE4F-44EB-AD78-68E04150FF83}" name="Customer Name" dataDxfId="22"/>
    <tableColumn id="8" xr3:uid="{4A0E553C-8BB4-4AB5-9A3B-88B5F0B71E46}" name="Item" dataDxfId="21"/>
    <tableColumn id="9" xr3:uid="{7DF74B26-8A3E-4D14-B09E-C0957170A9E7}" name="Reason Code" dataDxfId="20"/>
    <tableColumn id="10" xr3:uid="{75B60CB0-B70F-48DE-9E91-38AEDE6BD661}" name="Part  #" dataDxfId="19"/>
    <tableColumn id="11" xr3:uid="{18C28831-8073-4D0F-A9A3-2C9A323A4EC6}" name="Description" dataDxfId="18"/>
    <tableColumn id="13" xr3:uid="{F273822E-E09B-4BC6-8E05-7EEB7A966F7F}" name="Quantity" dataDxfId="17"/>
    <tableColumn id="14" xr3:uid="{4862566E-6E3E-432F-A07C-934606DD2E9F}" name="Unit Price" dataDxfId="16" dataCellStyle="Currency"/>
    <tableColumn id="7" xr3:uid="{6872D437-2605-484C-97E4-C445483EACED}" name="New Unit Price" dataDxfId="15">
      <calculatedColumnFormula>IF(Invoices[[#This Row],[Document Type]]="Return",Invoices[[#This Row],[Unit Price]]*-1,Invoices[[#This Row],[Unit Price]])</calculatedColumnFormula>
    </tableColumn>
    <tableColumn id="12" xr3:uid="{6FE752F5-301B-4B89-8060-2AB4A2CDBDAB}" name="Product Value" dataDxfId="14">
      <calculatedColumnFormula>IF(Invoices[[#This Row],[New Unit Price]]&lt;0,"Return",
IF(Invoices[[#This Row],[New Unit Price]]=0,"Free",IF(Invoices[[#This Row],[New Unit Price]]&lt;100,"Basic","Premium")))</calculatedColumnFormula>
    </tableColumn>
    <tableColumn id="15" xr3:uid="{730CB59A-17A0-4EED-A862-585BD1C1405A}" name="Unit Cost" dataDxfId="13">
      <calculatedColumnFormula>VLOOKUP(Invoices[[#This Row],[Part  '#]],Products[],4,0)</calculatedColumnFormula>
    </tableColumn>
    <tableColumn id="16" xr3:uid="{46A71C5A-9432-44A0-B9AC-72DC64453538}" name="Customer Type" dataDxfId="12">
      <calculatedColumnFormula>VLOOKUP(Invoices[[#This Row],[Customer Account]],Customers[],4,0)</calculatedColumnFormula>
    </tableColumn>
    <tableColumn id="17" xr3:uid="{8C580D2B-0B46-4E16-89E4-51C6ECE21E29}" name="Customer Region" dataDxfId="11">
      <calculatedColumnFormula>VLOOKUP(Invoices[[#This Row],[Customer Account]],Customers[],3,0)</calculatedColumnFormula>
    </tableColumn>
    <tableColumn id="18" xr3:uid="{6F6138CD-6447-45D2-8CB1-5A91C711790E}" name="Product Line" dataDxfId="10">
      <calculatedColumnFormula>VLOOKUP(Invoices[[#This Row],[Part  '#]],Products[],3,0)</calculatedColumnFormula>
    </tableColumn>
    <tableColumn id="19" xr3:uid="{437E8AAA-555F-40F7-9FB5-77C2044E7774}" name="Cost" dataDxfId="9">
      <calculatedColumnFormula>Invoices[[#This Row],[Quantity]]*Invoices[[#This Row],[Unit Cost]]</calculatedColumnFormula>
    </tableColumn>
    <tableColumn id="20" xr3:uid="{C3490F67-8EFD-4609-92C9-466AF5C450EC}" name="Revenue" dataDxfId="8">
      <calculatedColumnFormula>Invoices[[#This Row],[Quantity]]*Invoices[[#This Row],[New Unit Price]]</calculatedColumnFormula>
    </tableColumn>
    <tableColumn id="21" xr3:uid="{29C574E2-9DAC-4A1E-96CC-110D3CB0ACA5}" name="Profit" dataDxfId="7">
      <calculatedColumnFormula>Invoices[[#This Row],[Revenue]]-Invoices[[#This Row],[Cost]]</calculatedColumnFormula>
    </tableColumn>
    <tableColumn id="6" xr3:uid="{A84C595C-73E1-4F36-B303-D3D6E6108693}" name="Month" dataDxfId="5">
      <calculatedColumnFormula>TEXT(Invoices[[#This Row],[Date]],"MMM")</calculatedColumnFormula>
    </tableColumn>
    <tableColumn id="22" xr3:uid="{A61D4B58-729F-4E26-A339-E5B792F29566}" name="Quarter" dataDxfId="4">
      <calculatedColumnFormula>CHOOSE(MONTH(Invoices[[#This Row],[Date]]),1,1,1,2,2,2,3,3,3,4,4,4)</calculatedColumnFormula>
    </tableColumn>
    <tableColumn id="23" xr3:uid="{18FE916D-1EE8-4673-A379-CD2B9F4FF536}" name="Profit Margin %" dataDxfId="3">
      <calculatedColumnFormula>IFERROR(Invoices[[#This Row],[Profit]]/Invoices[[#This Row],[Revenue]],0)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A3290D7E-A086-4D10-B06B-EF651E859B49}" sourceName="Date">
  <pivotTables>
    <pivotTable tabId="9" name="PivotTable2"/>
    <pivotTable tabId="12" name="PivotTable5"/>
    <pivotTable tabId="8" name="PivotTable1"/>
    <pivotTable tabId="10" name="PivotTable3"/>
    <pivotTable tabId="15" name="PivotTable1"/>
  </pivotTables>
  <state minimalRefreshVersion="6" lastRefreshVersion="6" pivotCacheId="1775383440" filterType="unknown">
    <bounds startDate="2013-01-01T00:00:00" endDate="201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C4DCC758-EFD2-4513-9AB7-4914BD70E161}" cache="NativeTimeline_Date" caption="Date" showSelectionLabel="0" level="2" selectionLevel="2" scrollPosition="2013-01-01T00:00:00" style="TimeSlicerStyleDark1"/>
</timeline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1">
    <wetp:webextensionref xmlns:r="http://schemas.openxmlformats.org/officeDocument/2006/relationships" r:id="rId1"/>
  </wetp:taskpane>
</wetp:taskpanes>
</file>

<file path=xl/webextensions/webextension1.xml><?xml version="1.0" encoding="utf-8"?>
<we:webextension xmlns:we="http://schemas.microsoft.com/office/webextensions/webextension/2010/11" id="{80AA5366-5710-420B-BC5A-474C730E2791}">
  <we:reference id="wa200005502" version="1.0.0.9" store="en-IN" storeType="OMEX"/>
  <we:alternateReferences>
    <we:reference id="WA200005502" version="1.0.0.9" store="WA200005502" storeType="OMEX"/>
  </we:alternateReferences>
  <we:properties>
    <we:property name="docId" value="&quot;e9b7cb8d-cc00-4fd2-846a-044409ab36a2&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_xldudf_GPT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5.xml"/></Relationships>
</file>

<file path=xl/worksheets/_rels/sheet10.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EFBBE6-F487-415D-A9EC-B1F61E710170}">
  <dimension ref="A1:D28"/>
  <sheetViews>
    <sheetView zoomScale="128" zoomScaleNormal="160" workbookViewId="0">
      <selection activeCell="D34" sqref="D34"/>
    </sheetView>
  </sheetViews>
  <sheetFormatPr defaultRowHeight="14.4" x14ac:dyDescent="0.3"/>
  <cols>
    <col min="1" max="1" width="6.5546875" bestFit="1" customWidth="1"/>
    <col min="2" max="2" width="43.6640625" bestFit="1" customWidth="1"/>
    <col min="3" max="3" width="19.44140625" bestFit="1" customWidth="1"/>
    <col min="4" max="4" width="17.77734375" bestFit="1" customWidth="1"/>
  </cols>
  <sheetData>
    <row r="1" spans="1:4" x14ac:dyDescent="0.3">
      <c r="A1" t="s">
        <v>150</v>
      </c>
      <c r="B1" t="s">
        <v>151</v>
      </c>
      <c r="C1" t="s">
        <v>154</v>
      </c>
      <c r="D1" t="s">
        <v>157</v>
      </c>
    </row>
    <row r="2" spans="1:4" x14ac:dyDescent="0.3">
      <c r="A2">
        <v>1</v>
      </c>
      <c r="B2" t="s">
        <v>152</v>
      </c>
      <c r="C2" t="s">
        <v>155</v>
      </c>
      <c r="D2" t="s">
        <v>159</v>
      </c>
    </row>
    <row r="3" spans="1:4" x14ac:dyDescent="0.3">
      <c r="A3">
        <v>2</v>
      </c>
      <c r="B3" t="s">
        <v>153</v>
      </c>
      <c r="C3" t="s">
        <v>156</v>
      </c>
      <c r="D3" t="s">
        <v>158</v>
      </c>
    </row>
    <row r="4" spans="1:4" x14ac:dyDescent="0.3">
      <c r="A4">
        <v>3</v>
      </c>
      <c r="B4" t="s">
        <v>164</v>
      </c>
      <c r="C4" t="s">
        <v>160</v>
      </c>
      <c r="D4" t="s">
        <v>161</v>
      </c>
    </row>
    <row r="5" spans="1:4" x14ac:dyDescent="0.3">
      <c r="A5">
        <v>4</v>
      </c>
      <c r="B5" t="s">
        <v>163</v>
      </c>
      <c r="C5" t="s">
        <v>162</v>
      </c>
      <c r="D5" t="s">
        <v>161</v>
      </c>
    </row>
    <row r="6" spans="1:4" x14ac:dyDescent="0.3">
      <c r="A6">
        <v>5</v>
      </c>
      <c r="B6" t="s">
        <v>172</v>
      </c>
      <c r="C6" t="s">
        <v>180</v>
      </c>
      <c r="D6" t="s">
        <v>161</v>
      </c>
    </row>
    <row r="7" spans="1:4" x14ac:dyDescent="0.3">
      <c r="A7">
        <v>6</v>
      </c>
      <c r="B7" t="s">
        <v>165</v>
      </c>
      <c r="C7" t="s">
        <v>148</v>
      </c>
      <c r="D7" t="s">
        <v>161</v>
      </c>
    </row>
    <row r="8" spans="1:4" x14ac:dyDescent="0.3">
      <c r="A8">
        <v>7</v>
      </c>
      <c r="B8" t="s">
        <v>166</v>
      </c>
      <c r="C8" t="s">
        <v>167</v>
      </c>
      <c r="D8" t="s">
        <v>178</v>
      </c>
    </row>
    <row r="9" spans="1:4" x14ac:dyDescent="0.3">
      <c r="A9">
        <v>8</v>
      </c>
      <c r="B9" t="s">
        <v>166</v>
      </c>
      <c r="C9" t="s">
        <v>168</v>
      </c>
      <c r="D9" t="s">
        <v>178</v>
      </c>
    </row>
    <row r="10" spans="1:4" x14ac:dyDescent="0.3">
      <c r="A10">
        <v>9</v>
      </c>
      <c r="B10" t="s">
        <v>166</v>
      </c>
      <c r="C10" t="s">
        <v>169</v>
      </c>
      <c r="D10" t="s">
        <v>178</v>
      </c>
    </row>
    <row r="11" spans="1:4" x14ac:dyDescent="0.3">
      <c r="A11">
        <v>10</v>
      </c>
      <c r="B11" t="s">
        <v>166</v>
      </c>
      <c r="C11" t="s">
        <v>170</v>
      </c>
      <c r="D11" t="s">
        <v>179</v>
      </c>
    </row>
    <row r="12" spans="1:4" x14ac:dyDescent="0.3">
      <c r="A12">
        <v>11</v>
      </c>
      <c r="B12" t="s">
        <v>171</v>
      </c>
    </row>
    <row r="13" spans="1:4" x14ac:dyDescent="0.3">
      <c r="B13" t="s">
        <v>173</v>
      </c>
      <c r="D13" t="s">
        <v>177</v>
      </c>
    </row>
    <row r="14" spans="1:4" x14ac:dyDescent="0.3">
      <c r="B14" t="s">
        <v>174</v>
      </c>
      <c r="D14" t="s">
        <v>177</v>
      </c>
    </row>
    <row r="15" spans="1:4" x14ac:dyDescent="0.3">
      <c r="B15" t="s">
        <v>175</v>
      </c>
      <c r="D15" t="s">
        <v>177</v>
      </c>
    </row>
    <row r="16" spans="1:4" x14ac:dyDescent="0.3">
      <c r="B16" t="s">
        <v>176</v>
      </c>
      <c r="D16" t="s">
        <v>177</v>
      </c>
    </row>
    <row r="17" spans="1:4" x14ac:dyDescent="0.3">
      <c r="A17">
        <v>12</v>
      </c>
      <c r="B17" t="s">
        <v>198</v>
      </c>
      <c r="C17" t="s">
        <v>190</v>
      </c>
      <c r="D17" t="s">
        <v>178</v>
      </c>
    </row>
    <row r="18" spans="1:4" x14ac:dyDescent="0.3">
      <c r="A18">
        <v>13</v>
      </c>
      <c r="B18" t="s">
        <v>199</v>
      </c>
      <c r="C18" t="s">
        <v>191</v>
      </c>
      <c r="D18" t="s">
        <v>178</v>
      </c>
    </row>
    <row r="19" spans="1:4" x14ac:dyDescent="0.3">
      <c r="A19">
        <v>14</v>
      </c>
      <c r="B19" t="s">
        <v>200</v>
      </c>
      <c r="C19" t="s">
        <v>192</v>
      </c>
      <c r="D19" t="s">
        <v>178</v>
      </c>
    </row>
    <row r="20" spans="1:4" x14ac:dyDescent="0.3">
      <c r="A20">
        <v>15</v>
      </c>
      <c r="B20" t="s">
        <v>201</v>
      </c>
      <c r="C20" t="s">
        <v>210</v>
      </c>
      <c r="D20" t="s">
        <v>178</v>
      </c>
    </row>
    <row r="21" spans="1:4" x14ac:dyDescent="0.3">
      <c r="A21">
        <v>16</v>
      </c>
      <c r="B21" t="s">
        <v>202</v>
      </c>
      <c r="C21" t="s">
        <v>210</v>
      </c>
      <c r="D21" t="s">
        <v>178</v>
      </c>
    </row>
    <row r="22" spans="1:4" x14ac:dyDescent="0.3">
      <c r="A22">
        <v>17</v>
      </c>
      <c r="B22" t="s">
        <v>203</v>
      </c>
      <c r="C22" t="s">
        <v>210</v>
      </c>
      <c r="D22" t="s">
        <v>178</v>
      </c>
    </row>
    <row r="23" spans="1:4" x14ac:dyDescent="0.3">
      <c r="A23">
        <v>18</v>
      </c>
      <c r="B23" t="s">
        <v>204</v>
      </c>
      <c r="C23" t="s">
        <v>210</v>
      </c>
      <c r="D23" t="s">
        <v>178</v>
      </c>
    </row>
    <row r="24" spans="1:4" x14ac:dyDescent="0.3">
      <c r="A24">
        <v>19</v>
      </c>
      <c r="B24" t="s">
        <v>205</v>
      </c>
      <c r="C24" t="s">
        <v>211</v>
      </c>
      <c r="D24" t="s">
        <v>177</v>
      </c>
    </row>
    <row r="25" spans="1:4" x14ac:dyDescent="0.3">
      <c r="A25">
        <v>20</v>
      </c>
      <c r="B25" t="s">
        <v>206</v>
      </c>
      <c r="C25" t="s">
        <v>211</v>
      </c>
      <c r="D25" t="s">
        <v>177</v>
      </c>
    </row>
    <row r="26" spans="1:4" x14ac:dyDescent="0.3">
      <c r="A26">
        <v>21</v>
      </c>
      <c r="B26" t="s">
        <v>207</v>
      </c>
      <c r="C26" t="s">
        <v>210</v>
      </c>
      <c r="D26" t="s">
        <v>212</v>
      </c>
    </row>
    <row r="27" spans="1:4" x14ac:dyDescent="0.3">
      <c r="A27">
        <v>22</v>
      </c>
      <c r="B27" t="s">
        <v>208</v>
      </c>
      <c r="C27" t="s">
        <v>210</v>
      </c>
      <c r="D27" t="s">
        <v>213</v>
      </c>
    </row>
    <row r="28" spans="1:4" x14ac:dyDescent="0.3">
      <c r="A28">
        <v>23</v>
      </c>
      <c r="B28" t="s">
        <v>209</v>
      </c>
      <c r="C28" t="s">
        <v>210</v>
      </c>
      <c r="D28" t="s">
        <v>214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49"/>
  <sheetViews>
    <sheetView workbookViewId="0">
      <selection activeCell="F15" sqref="F15"/>
    </sheetView>
  </sheetViews>
  <sheetFormatPr defaultRowHeight="14.4" x14ac:dyDescent="0.3"/>
  <cols>
    <col min="1" max="1" width="14.44140625" customWidth="1"/>
    <col min="2" max="2" width="38.33203125" customWidth="1"/>
    <col min="3" max="3" width="14.109375" customWidth="1"/>
    <col min="4" max="4" width="14.33203125" customWidth="1"/>
  </cols>
  <sheetData>
    <row r="1" spans="1:4" s="3" customFormat="1" ht="23.25" customHeight="1" x14ac:dyDescent="0.3">
      <c r="A1" t="s">
        <v>7</v>
      </c>
      <c r="B1" s="21" t="s">
        <v>2</v>
      </c>
      <c r="C1" s="21" t="s">
        <v>148</v>
      </c>
      <c r="D1" s="21" t="s">
        <v>149</v>
      </c>
    </row>
    <row r="2" spans="1:4" x14ac:dyDescent="0.3">
      <c r="A2" s="20" t="s">
        <v>109</v>
      </c>
      <c r="B2" s="4" t="s">
        <v>24</v>
      </c>
      <c r="C2" s="4" t="s">
        <v>35</v>
      </c>
      <c r="D2" s="4">
        <v>12.17</v>
      </c>
    </row>
    <row r="3" spans="1:4" x14ac:dyDescent="0.3">
      <c r="A3" s="20" t="s">
        <v>110</v>
      </c>
      <c r="B3" s="4" t="s">
        <v>25</v>
      </c>
      <c r="C3" s="4" t="s">
        <v>35</v>
      </c>
      <c r="D3" s="4">
        <v>13.79</v>
      </c>
    </row>
    <row r="4" spans="1:4" x14ac:dyDescent="0.3">
      <c r="A4" s="20" t="s">
        <v>111</v>
      </c>
      <c r="B4" s="4" t="s">
        <v>26</v>
      </c>
      <c r="C4" s="4" t="s">
        <v>35</v>
      </c>
      <c r="D4" s="4">
        <v>11.86</v>
      </c>
    </row>
    <row r="5" spans="1:4" x14ac:dyDescent="0.3">
      <c r="A5" s="20" t="s">
        <v>112</v>
      </c>
      <c r="B5" s="4" t="s">
        <v>27</v>
      </c>
      <c r="C5" s="4" t="s">
        <v>35</v>
      </c>
      <c r="D5" s="4">
        <v>13.25</v>
      </c>
    </row>
    <row r="6" spans="1:4" x14ac:dyDescent="0.3">
      <c r="A6" s="20" t="s">
        <v>113</v>
      </c>
      <c r="B6" s="4" t="s">
        <v>28</v>
      </c>
      <c r="C6" s="4" t="s">
        <v>35</v>
      </c>
      <c r="D6" s="4">
        <v>6.89</v>
      </c>
    </row>
    <row r="7" spans="1:4" x14ac:dyDescent="0.3">
      <c r="A7" s="20" t="s">
        <v>114</v>
      </c>
      <c r="B7" s="4" t="s">
        <v>29</v>
      </c>
      <c r="C7" s="4" t="s">
        <v>35</v>
      </c>
      <c r="D7" s="4">
        <v>8.1</v>
      </c>
    </row>
    <row r="8" spans="1:4" x14ac:dyDescent="0.3">
      <c r="A8" s="20" t="s">
        <v>115</v>
      </c>
      <c r="B8" s="4" t="s">
        <v>30</v>
      </c>
      <c r="C8" s="4" t="s">
        <v>35</v>
      </c>
      <c r="D8" s="4">
        <v>4.8</v>
      </c>
    </row>
    <row r="9" spans="1:4" x14ac:dyDescent="0.3">
      <c r="A9" s="20" t="s">
        <v>137</v>
      </c>
      <c r="B9" s="4" t="s">
        <v>31</v>
      </c>
      <c r="C9" s="4" t="s">
        <v>35</v>
      </c>
      <c r="D9" s="4">
        <v>6.3</v>
      </c>
    </row>
    <row r="10" spans="1:4" x14ac:dyDescent="0.3">
      <c r="A10" s="20" t="s">
        <v>116</v>
      </c>
      <c r="B10" s="4" t="s">
        <v>32</v>
      </c>
      <c r="C10" s="4" t="s">
        <v>35</v>
      </c>
      <c r="D10" s="4">
        <v>8.15</v>
      </c>
    </row>
    <row r="11" spans="1:4" x14ac:dyDescent="0.3">
      <c r="A11" s="20" t="s">
        <v>117</v>
      </c>
      <c r="B11" s="4" t="s">
        <v>33</v>
      </c>
      <c r="C11" s="4" t="s">
        <v>35</v>
      </c>
      <c r="D11" s="4">
        <v>11.59</v>
      </c>
    </row>
    <row r="12" spans="1:4" x14ac:dyDescent="0.3">
      <c r="A12" s="20" t="s">
        <v>118</v>
      </c>
      <c r="B12" s="4" t="s">
        <v>42</v>
      </c>
      <c r="C12" s="4" t="s">
        <v>35</v>
      </c>
      <c r="D12" s="4">
        <v>12.33</v>
      </c>
    </row>
    <row r="13" spans="1:4" x14ac:dyDescent="0.3">
      <c r="A13" s="20" t="s">
        <v>119</v>
      </c>
      <c r="B13" s="4" t="s">
        <v>43</v>
      </c>
      <c r="C13" s="4" t="s">
        <v>35</v>
      </c>
      <c r="D13" s="4">
        <v>17.22</v>
      </c>
    </row>
    <row r="14" spans="1:4" x14ac:dyDescent="0.3">
      <c r="A14" s="20" t="s">
        <v>120</v>
      </c>
      <c r="B14" s="4" t="s">
        <v>54</v>
      </c>
      <c r="C14" s="4" t="s">
        <v>35</v>
      </c>
      <c r="D14" s="4">
        <v>89.7</v>
      </c>
    </row>
    <row r="15" spans="1:4" x14ac:dyDescent="0.3">
      <c r="A15" s="20" t="s">
        <v>121</v>
      </c>
      <c r="B15" s="4" t="s">
        <v>55</v>
      </c>
      <c r="C15" s="4" t="s">
        <v>35</v>
      </c>
      <c r="D15" s="4">
        <v>93.81</v>
      </c>
    </row>
    <row r="16" spans="1:4" x14ac:dyDescent="0.3">
      <c r="A16" s="20" t="s">
        <v>122</v>
      </c>
      <c r="B16" s="4" t="s">
        <v>56</v>
      </c>
      <c r="C16" s="4" t="s">
        <v>35</v>
      </c>
      <c r="D16" s="4">
        <v>76.19</v>
      </c>
    </row>
    <row r="17" spans="1:4" x14ac:dyDescent="0.3">
      <c r="A17" s="20" t="s">
        <v>123</v>
      </c>
      <c r="B17" s="4" t="s">
        <v>38</v>
      </c>
      <c r="C17" s="4" t="s">
        <v>36</v>
      </c>
      <c r="D17" s="4">
        <v>4.58</v>
      </c>
    </row>
    <row r="18" spans="1:4" x14ac:dyDescent="0.3">
      <c r="A18" s="20" t="s">
        <v>124</v>
      </c>
      <c r="B18" s="4" t="s">
        <v>39</v>
      </c>
      <c r="C18" s="4" t="s">
        <v>36</v>
      </c>
      <c r="D18" s="4">
        <v>6.37</v>
      </c>
    </row>
    <row r="19" spans="1:4" x14ac:dyDescent="0.3">
      <c r="A19" s="20" t="s">
        <v>125</v>
      </c>
      <c r="B19" s="4" t="s">
        <v>40</v>
      </c>
      <c r="C19" s="4" t="s">
        <v>36</v>
      </c>
      <c r="D19" s="4">
        <v>6.9</v>
      </c>
    </row>
    <row r="20" spans="1:4" x14ac:dyDescent="0.3">
      <c r="A20" s="20" t="s">
        <v>126</v>
      </c>
      <c r="B20" s="4" t="s">
        <v>41</v>
      </c>
      <c r="C20" s="4" t="s">
        <v>36</v>
      </c>
      <c r="D20" s="4">
        <v>8.0500000000000007</v>
      </c>
    </row>
    <row r="21" spans="1:4" x14ac:dyDescent="0.3">
      <c r="A21" s="20" t="s">
        <v>127</v>
      </c>
      <c r="B21" s="4" t="s">
        <v>44</v>
      </c>
      <c r="C21" s="4" t="s">
        <v>36</v>
      </c>
      <c r="D21" s="4">
        <v>3.43</v>
      </c>
    </row>
    <row r="22" spans="1:4" x14ac:dyDescent="0.3">
      <c r="A22" s="20" t="s">
        <v>128</v>
      </c>
      <c r="B22" s="4" t="s">
        <v>45</v>
      </c>
      <c r="C22" s="4" t="s">
        <v>36</v>
      </c>
      <c r="D22" s="4">
        <v>5.16</v>
      </c>
    </row>
    <row r="23" spans="1:4" x14ac:dyDescent="0.3">
      <c r="A23" s="20" t="s">
        <v>129</v>
      </c>
      <c r="B23" s="4" t="s">
        <v>46</v>
      </c>
      <c r="C23" s="4" t="s">
        <v>36</v>
      </c>
      <c r="D23" s="4">
        <v>4.96</v>
      </c>
    </row>
    <row r="24" spans="1:4" x14ac:dyDescent="0.3">
      <c r="A24" s="20" t="s">
        <v>130</v>
      </c>
      <c r="B24" s="4" t="s">
        <v>47</v>
      </c>
      <c r="C24" s="4" t="s">
        <v>36</v>
      </c>
      <c r="D24" s="4">
        <v>7.09</v>
      </c>
    </row>
    <row r="25" spans="1:4" x14ac:dyDescent="0.3">
      <c r="A25" s="20" t="s">
        <v>131</v>
      </c>
      <c r="B25" s="4" t="s">
        <v>48</v>
      </c>
      <c r="C25" s="4" t="s">
        <v>36</v>
      </c>
      <c r="D25" s="4">
        <v>11.67</v>
      </c>
    </row>
    <row r="26" spans="1:4" x14ac:dyDescent="0.3">
      <c r="A26" s="20" t="s">
        <v>132</v>
      </c>
      <c r="B26" s="4" t="s">
        <v>49</v>
      </c>
      <c r="C26" s="4" t="s">
        <v>36</v>
      </c>
      <c r="D26" s="4">
        <v>13.92</v>
      </c>
    </row>
    <row r="27" spans="1:4" x14ac:dyDescent="0.3">
      <c r="A27" s="20" t="s">
        <v>133</v>
      </c>
      <c r="B27" s="4" t="s">
        <v>50</v>
      </c>
      <c r="C27" s="4" t="s">
        <v>36</v>
      </c>
      <c r="D27" s="4">
        <v>5.4</v>
      </c>
    </row>
    <row r="28" spans="1:4" x14ac:dyDescent="0.3">
      <c r="A28" s="20" t="s">
        <v>134</v>
      </c>
      <c r="B28" s="4" t="s">
        <v>51</v>
      </c>
      <c r="C28" s="4" t="s">
        <v>36</v>
      </c>
      <c r="D28" s="4">
        <v>8.3699999999999992</v>
      </c>
    </row>
    <row r="29" spans="1:4" x14ac:dyDescent="0.3">
      <c r="A29" s="20" t="s">
        <v>135</v>
      </c>
      <c r="B29" s="4" t="s">
        <v>52</v>
      </c>
      <c r="C29" s="4" t="s">
        <v>36</v>
      </c>
      <c r="D29" s="4">
        <v>27.17</v>
      </c>
    </row>
    <row r="30" spans="1:4" x14ac:dyDescent="0.3">
      <c r="A30" s="20" t="s">
        <v>136</v>
      </c>
      <c r="B30" s="4" t="s">
        <v>53</v>
      </c>
      <c r="C30" s="4" t="s">
        <v>36</v>
      </c>
      <c r="D30" s="4">
        <v>34.299999999999997</v>
      </c>
    </row>
    <row r="31" spans="1:4" x14ac:dyDescent="0.3">
      <c r="A31" s="20" t="s">
        <v>90</v>
      </c>
      <c r="B31" s="4" t="s">
        <v>88</v>
      </c>
      <c r="C31" s="4" t="s">
        <v>34</v>
      </c>
      <c r="D31" s="4">
        <v>295.10000000000002</v>
      </c>
    </row>
    <row r="32" spans="1:4" x14ac:dyDescent="0.3">
      <c r="A32" s="20" t="s">
        <v>91</v>
      </c>
      <c r="B32" s="4" t="s">
        <v>89</v>
      </c>
      <c r="C32" s="4" t="s">
        <v>34</v>
      </c>
      <c r="D32" s="4">
        <v>479.59</v>
      </c>
    </row>
    <row r="33" spans="1:4" x14ac:dyDescent="0.3">
      <c r="A33" s="20" t="s">
        <v>92</v>
      </c>
      <c r="B33" s="4" t="s">
        <v>10</v>
      </c>
      <c r="C33" s="4" t="s">
        <v>34</v>
      </c>
      <c r="D33" s="4">
        <v>899.1</v>
      </c>
    </row>
    <row r="34" spans="1:4" x14ac:dyDescent="0.3">
      <c r="A34" s="20" t="s">
        <v>93</v>
      </c>
      <c r="B34" s="4" t="s">
        <v>37</v>
      </c>
      <c r="C34" s="4" t="s">
        <v>34</v>
      </c>
      <c r="D34" s="4">
        <v>1050.3800000000001</v>
      </c>
    </row>
    <row r="35" spans="1:4" x14ac:dyDescent="0.3">
      <c r="A35" s="20" t="s">
        <v>94</v>
      </c>
      <c r="B35" s="4" t="s">
        <v>8</v>
      </c>
      <c r="C35" s="4" t="s">
        <v>34</v>
      </c>
      <c r="D35" s="4">
        <v>93.56</v>
      </c>
    </row>
    <row r="36" spans="1:4" x14ac:dyDescent="0.3">
      <c r="A36" s="20" t="s">
        <v>95</v>
      </c>
      <c r="B36" s="4" t="s">
        <v>9</v>
      </c>
      <c r="C36" s="4" t="s">
        <v>34</v>
      </c>
      <c r="D36" s="4">
        <v>108.98</v>
      </c>
    </row>
    <row r="37" spans="1:4" x14ac:dyDescent="0.3">
      <c r="A37" s="20" t="s">
        <v>96</v>
      </c>
      <c r="B37" s="4" t="s">
        <v>21</v>
      </c>
      <c r="C37" s="4" t="s">
        <v>34</v>
      </c>
      <c r="D37" s="4">
        <v>174.69</v>
      </c>
    </row>
    <row r="38" spans="1:4" x14ac:dyDescent="0.3">
      <c r="A38" s="20" t="s">
        <v>97</v>
      </c>
      <c r="B38" s="4" t="s">
        <v>15</v>
      </c>
      <c r="C38" s="4" t="s">
        <v>34</v>
      </c>
      <c r="D38" s="4">
        <v>212.19</v>
      </c>
    </row>
    <row r="39" spans="1:4" x14ac:dyDescent="0.3">
      <c r="A39" s="20" t="s">
        <v>98</v>
      </c>
      <c r="B39" s="4" t="s">
        <v>11</v>
      </c>
      <c r="C39" s="4" t="s">
        <v>34</v>
      </c>
      <c r="D39" s="4">
        <v>282.24</v>
      </c>
    </row>
    <row r="40" spans="1:4" x14ac:dyDescent="0.3">
      <c r="A40" s="20" t="s">
        <v>99</v>
      </c>
      <c r="B40" s="4" t="s">
        <v>12</v>
      </c>
      <c r="C40" s="4" t="s">
        <v>34</v>
      </c>
      <c r="D40" s="4">
        <v>317.25</v>
      </c>
    </row>
    <row r="41" spans="1:4" x14ac:dyDescent="0.3">
      <c r="A41" s="20" t="s">
        <v>100</v>
      </c>
      <c r="B41" s="4" t="s">
        <v>13</v>
      </c>
      <c r="C41" s="4" t="s">
        <v>34</v>
      </c>
      <c r="D41" s="4">
        <v>364.28</v>
      </c>
    </row>
    <row r="42" spans="1:4" x14ac:dyDescent="0.3">
      <c r="A42" s="20" t="s">
        <v>101</v>
      </c>
      <c r="B42" s="4" t="s">
        <v>14</v>
      </c>
      <c r="C42" s="4" t="s">
        <v>34</v>
      </c>
      <c r="D42" s="4">
        <v>412.96</v>
      </c>
    </row>
    <row r="43" spans="1:4" x14ac:dyDescent="0.3">
      <c r="A43" s="20" t="s">
        <v>102</v>
      </c>
      <c r="B43" s="4" t="s">
        <v>16</v>
      </c>
      <c r="C43" s="4" t="s">
        <v>34</v>
      </c>
      <c r="D43" s="4">
        <v>498.18</v>
      </c>
    </row>
    <row r="44" spans="1:4" x14ac:dyDescent="0.3">
      <c r="A44" s="20" t="s">
        <v>103</v>
      </c>
      <c r="B44" s="4" t="s">
        <v>18</v>
      </c>
      <c r="C44" s="4" t="s">
        <v>34</v>
      </c>
      <c r="D44" s="4">
        <v>1128.24</v>
      </c>
    </row>
    <row r="45" spans="1:4" x14ac:dyDescent="0.3">
      <c r="A45" s="20" t="s">
        <v>104</v>
      </c>
      <c r="B45" s="4" t="s">
        <v>17</v>
      </c>
      <c r="C45" s="4" t="s">
        <v>34</v>
      </c>
      <c r="D45" s="4">
        <v>1320.2</v>
      </c>
    </row>
    <row r="46" spans="1:4" x14ac:dyDescent="0.3">
      <c r="A46" s="20" t="s">
        <v>105</v>
      </c>
      <c r="B46" s="4" t="s">
        <v>19</v>
      </c>
      <c r="C46" s="4" t="s">
        <v>34</v>
      </c>
      <c r="D46" s="4">
        <v>995.59</v>
      </c>
    </row>
    <row r="47" spans="1:4" x14ac:dyDescent="0.3">
      <c r="A47" s="20" t="s">
        <v>106</v>
      </c>
      <c r="B47" s="4" t="s">
        <v>20</v>
      </c>
      <c r="C47" s="4" t="s">
        <v>34</v>
      </c>
      <c r="D47" s="4">
        <v>1155.3699999999999</v>
      </c>
    </row>
    <row r="48" spans="1:4" x14ac:dyDescent="0.3">
      <c r="A48" s="20" t="s">
        <v>107</v>
      </c>
      <c r="B48" s="4" t="s">
        <v>22</v>
      </c>
      <c r="C48" s="4" t="s">
        <v>34</v>
      </c>
      <c r="D48" s="4">
        <v>1299.7</v>
      </c>
    </row>
    <row r="49" spans="1:4" x14ac:dyDescent="0.3">
      <c r="A49" s="20" t="s">
        <v>108</v>
      </c>
      <c r="B49" s="4" t="s">
        <v>23</v>
      </c>
      <c r="C49" s="4" t="s">
        <v>34</v>
      </c>
      <c r="D49" s="4">
        <v>1440.45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20"/>
  <sheetViews>
    <sheetView workbookViewId="0">
      <selection activeCell="N13" sqref="N13"/>
    </sheetView>
  </sheetViews>
  <sheetFormatPr defaultRowHeight="14.4" x14ac:dyDescent="0.3"/>
  <cols>
    <col min="1" max="1" width="10.33203125" style="1" customWidth="1"/>
    <col min="2" max="2" width="32.6640625" customWidth="1"/>
    <col min="3" max="3" width="14.109375" customWidth="1"/>
    <col min="4" max="4" width="11.33203125" customWidth="1"/>
  </cols>
  <sheetData>
    <row r="1" spans="1:4" ht="30" customHeight="1" x14ac:dyDescent="0.3">
      <c r="A1" s="1" t="s">
        <v>57</v>
      </c>
      <c r="B1" s="21" t="s">
        <v>58</v>
      </c>
      <c r="C1" s="21" t="s">
        <v>59</v>
      </c>
      <c r="D1" s="21" t="s">
        <v>60</v>
      </c>
    </row>
    <row r="2" spans="1:4" x14ac:dyDescent="0.3">
      <c r="A2" s="22">
        <v>101</v>
      </c>
      <c r="B2" s="4" t="s">
        <v>61</v>
      </c>
      <c r="C2" s="4" t="s">
        <v>62</v>
      </c>
      <c r="D2" s="4" t="s">
        <v>78</v>
      </c>
    </row>
    <row r="3" spans="1:4" x14ac:dyDescent="0.3">
      <c r="A3" s="22">
        <v>102</v>
      </c>
      <c r="B3" s="4" t="s">
        <v>63</v>
      </c>
      <c r="C3" s="4" t="s">
        <v>62</v>
      </c>
      <c r="D3" s="4" t="s">
        <v>78</v>
      </c>
    </row>
    <row r="4" spans="1:4" x14ac:dyDescent="0.3">
      <c r="A4" s="22">
        <v>103</v>
      </c>
      <c r="B4" s="4" t="s">
        <v>71</v>
      </c>
      <c r="C4" s="4" t="s">
        <v>64</v>
      </c>
      <c r="D4" s="4" t="s">
        <v>79</v>
      </c>
    </row>
    <row r="5" spans="1:4" x14ac:dyDescent="0.3">
      <c r="A5" s="22">
        <v>104</v>
      </c>
      <c r="B5" s="4" t="s">
        <v>65</v>
      </c>
      <c r="C5" s="4" t="s">
        <v>66</v>
      </c>
      <c r="D5" s="4" t="s">
        <v>78</v>
      </c>
    </row>
    <row r="6" spans="1:4" x14ac:dyDescent="0.3">
      <c r="A6" s="22">
        <v>105</v>
      </c>
      <c r="B6" s="4" t="s">
        <v>67</v>
      </c>
      <c r="C6" s="4" t="s">
        <v>68</v>
      </c>
      <c r="D6" s="4" t="s">
        <v>78</v>
      </c>
    </row>
    <row r="7" spans="1:4" x14ac:dyDescent="0.3">
      <c r="A7" s="22">
        <v>106</v>
      </c>
      <c r="B7" s="4" t="s">
        <v>69</v>
      </c>
      <c r="C7" s="4" t="s">
        <v>70</v>
      </c>
      <c r="D7" s="4" t="s">
        <v>78</v>
      </c>
    </row>
    <row r="8" spans="1:4" x14ac:dyDescent="0.3">
      <c r="A8" s="22">
        <v>107</v>
      </c>
      <c r="B8" s="4" t="s">
        <v>72</v>
      </c>
      <c r="C8" s="4" t="s">
        <v>62</v>
      </c>
      <c r="D8" s="4" t="s">
        <v>79</v>
      </c>
    </row>
    <row r="9" spans="1:4" x14ac:dyDescent="0.3">
      <c r="A9" s="22">
        <v>108</v>
      </c>
      <c r="B9" s="4" t="s">
        <v>73</v>
      </c>
      <c r="C9" s="4" t="s">
        <v>64</v>
      </c>
      <c r="D9" s="4" t="s">
        <v>79</v>
      </c>
    </row>
    <row r="10" spans="1:4" x14ac:dyDescent="0.3">
      <c r="A10" s="22">
        <v>109</v>
      </c>
      <c r="B10" s="4" t="s">
        <v>74</v>
      </c>
      <c r="C10" s="4" t="s">
        <v>62</v>
      </c>
      <c r="D10" s="4" t="s">
        <v>79</v>
      </c>
    </row>
    <row r="11" spans="1:4" x14ac:dyDescent="0.3">
      <c r="A11" s="22">
        <v>110</v>
      </c>
      <c r="B11" s="4" t="s">
        <v>75</v>
      </c>
      <c r="C11" s="4" t="s">
        <v>76</v>
      </c>
      <c r="D11" s="4" t="s">
        <v>78</v>
      </c>
    </row>
    <row r="12" spans="1:4" x14ac:dyDescent="0.3">
      <c r="A12" s="22">
        <v>111</v>
      </c>
      <c r="B12" s="4" t="s">
        <v>77</v>
      </c>
      <c r="C12" s="4" t="s">
        <v>76</v>
      </c>
      <c r="D12" s="4" t="s">
        <v>78</v>
      </c>
    </row>
    <row r="13" spans="1:4" x14ac:dyDescent="0.3">
      <c r="A13" s="22">
        <v>112</v>
      </c>
      <c r="B13" s="4" t="s">
        <v>80</v>
      </c>
      <c r="C13" s="4" t="s">
        <v>62</v>
      </c>
      <c r="D13" s="4" t="s">
        <v>79</v>
      </c>
    </row>
    <row r="14" spans="1:4" x14ac:dyDescent="0.3">
      <c r="A14" s="22">
        <v>113</v>
      </c>
      <c r="B14" s="4" t="s">
        <v>81</v>
      </c>
      <c r="C14" s="4" t="s">
        <v>62</v>
      </c>
      <c r="D14" s="4" t="s">
        <v>79</v>
      </c>
    </row>
    <row r="15" spans="1:4" x14ac:dyDescent="0.3">
      <c r="A15" s="22">
        <v>114</v>
      </c>
      <c r="B15" s="4" t="s">
        <v>82</v>
      </c>
      <c r="C15" s="4" t="s">
        <v>66</v>
      </c>
      <c r="D15" s="4" t="s">
        <v>78</v>
      </c>
    </row>
    <row r="16" spans="1:4" x14ac:dyDescent="0.3">
      <c r="A16" s="22">
        <v>115</v>
      </c>
      <c r="B16" s="4" t="s">
        <v>83</v>
      </c>
      <c r="C16" s="4" t="s">
        <v>70</v>
      </c>
      <c r="D16" s="4" t="s">
        <v>78</v>
      </c>
    </row>
    <row r="17" spans="1:4" x14ac:dyDescent="0.3">
      <c r="A17" s="22">
        <v>116</v>
      </c>
      <c r="B17" s="4" t="s">
        <v>84</v>
      </c>
      <c r="C17" s="4" t="s">
        <v>70</v>
      </c>
      <c r="D17" s="4" t="s">
        <v>78</v>
      </c>
    </row>
    <row r="18" spans="1:4" x14ac:dyDescent="0.3">
      <c r="A18" s="22">
        <v>117</v>
      </c>
      <c r="B18" s="4" t="s">
        <v>85</v>
      </c>
      <c r="C18" s="4" t="s">
        <v>62</v>
      </c>
      <c r="D18" s="4" t="s">
        <v>78</v>
      </c>
    </row>
    <row r="19" spans="1:4" x14ac:dyDescent="0.3">
      <c r="A19" s="22">
        <v>118</v>
      </c>
      <c r="B19" s="4" t="s">
        <v>86</v>
      </c>
      <c r="C19" s="4" t="s">
        <v>62</v>
      </c>
      <c r="D19" s="4" t="s">
        <v>79</v>
      </c>
    </row>
    <row r="20" spans="1:4" x14ac:dyDescent="0.3">
      <c r="A20" s="22">
        <v>119</v>
      </c>
      <c r="B20" s="4" t="s">
        <v>87</v>
      </c>
      <c r="C20" s="4" t="s">
        <v>62</v>
      </c>
      <c r="D20" s="4" t="s">
        <v>79</v>
      </c>
    </row>
  </sheetData>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W508"/>
  <sheetViews>
    <sheetView zoomScale="98" zoomScaleNormal="100" workbookViewId="0">
      <selection activeCell="I12" sqref="I12"/>
    </sheetView>
  </sheetViews>
  <sheetFormatPr defaultRowHeight="14.4" x14ac:dyDescent="0.3"/>
  <cols>
    <col min="1" max="1" width="17.109375" customWidth="1"/>
    <col min="2" max="2" width="19" style="5" customWidth="1"/>
    <col min="3" max="3" width="16.77734375" style="7" customWidth="1"/>
    <col min="4" max="4" width="19.109375" style="6" customWidth="1"/>
    <col min="5" max="5" width="17.5546875" style="2" customWidth="1"/>
    <col min="6" max="6" width="7.33203125" style="6" customWidth="1"/>
    <col min="7" max="7" width="26.6640625" style="2" bestFit="1" customWidth="1"/>
    <col min="8" max="8" width="9" style="6" customWidth="1"/>
    <col min="9" max="9" width="35" customWidth="1"/>
    <col min="10" max="10" width="10.88671875" customWidth="1"/>
    <col min="11" max="11" width="11.88671875" style="17" customWidth="1"/>
    <col min="12" max="12" width="15.77734375" bestFit="1" customWidth="1"/>
    <col min="13" max="13" width="15.109375" bestFit="1" customWidth="1"/>
    <col min="14" max="14" width="11" bestFit="1" customWidth="1"/>
    <col min="15" max="15" width="16" bestFit="1" customWidth="1"/>
    <col min="16" max="16" width="17.6640625" bestFit="1" customWidth="1"/>
    <col min="17" max="17" width="13.77734375" bestFit="1" customWidth="1"/>
    <col min="18" max="20" width="11.33203125" bestFit="1" customWidth="1"/>
    <col min="21" max="21" width="14.33203125" bestFit="1" customWidth="1"/>
    <col min="23" max="23" width="16.6640625" bestFit="1" customWidth="1"/>
  </cols>
  <sheetData>
    <row r="1" spans="1:23" x14ac:dyDescent="0.3">
      <c r="A1" s="18" t="s">
        <v>146</v>
      </c>
      <c r="B1" s="11" t="s">
        <v>147</v>
      </c>
      <c r="C1" s="12" t="s">
        <v>6</v>
      </c>
      <c r="D1" s="11" t="s">
        <v>138</v>
      </c>
      <c r="E1" s="11" t="s">
        <v>58</v>
      </c>
      <c r="F1" s="13" t="s">
        <v>0</v>
      </c>
      <c r="G1" s="13" t="s">
        <v>140</v>
      </c>
      <c r="H1" s="13" t="s">
        <v>1</v>
      </c>
      <c r="I1" s="11" t="s">
        <v>2</v>
      </c>
      <c r="J1" s="14" t="s">
        <v>3</v>
      </c>
      <c r="K1" s="16" t="s">
        <v>4</v>
      </c>
      <c r="L1" s="24" t="s">
        <v>155</v>
      </c>
      <c r="M1" s="24" t="s">
        <v>156</v>
      </c>
      <c r="N1" s="24" t="s">
        <v>160</v>
      </c>
      <c r="O1" s="24" t="s">
        <v>162</v>
      </c>
      <c r="P1" s="24" t="s">
        <v>180</v>
      </c>
      <c r="Q1" s="24" t="s">
        <v>148</v>
      </c>
      <c r="R1" s="24" t="s">
        <v>167</v>
      </c>
      <c r="S1" s="24" t="s">
        <v>168</v>
      </c>
      <c r="T1" s="24" t="s">
        <v>169</v>
      </c>
      <c r="U1" s="24" t="s">
        <v>190</v>
      </c>
      <c r="V1" s="24" t="s">
        <v>191</v>
      </c>
      <c r="W1" s="24" t="s">
        <v>192</v>
      </c>
    </row>
    <row r="2" spans="1:23" x14ac:dyDescent="0.3">
      <c r="A2" s="19" t="s">
        <v>5</v>
      </c>
      <c r="B2" s="4">
        <v>22801</v>
      </c>
      <c r="C2" s="15">
        <v>41275</v>
      </c>
      <c r="D2" s="9">
        <v>106</v>
      </c>
      <c r="E2" s="10" t="s">
        <v>69</v>
      </c>
      <c r="F2" s="8">
        <v>1</v>
      </c>
      <c r="G2" s="10"/>
      <c r="H2" s="4" t="s">
        <v>123</v>
      </c>
      <c r="I2" s="4" t="s">
        <v>38</v>
      </c>
      <c r="J2" s="4">
        <v>80</v>
      </c>
      <c r="K2" s="23">
        <v>18</v>
      </c>
      <c r="L2">
        <f>IF(Invoices[[#This Row],[Document Type]]="Return",Invoices[[#This Row],[Unit Price]]*-1,Invoices[[#This Row],[Unit Price]])</f>
        <v>18</v>
      </c>
      <c r="M2" t="str">
        <f>IF(Invoices[[#This Row],[New Unit Price]]&lt;0,"Return",
IF(Invoices[[#This Row],[New Unit Price]]=0,"Free",IF(Invoices[[#This Row],[New Unit Price]]&lt;100,"Basic","Premium")))</f>
        <v>Basic</v>
      </c>
      <c r="N2">
        <f>VLOOKUP(Invoices[[#This Row],[Part  '#]],Products[],4,0)</f>
        <v>4.58</v>
      </c>
      <c r="O2" t="str">
        <f>VLOOKUP(Invoices[[#This Row],[Customer Account]],Customers[],4,0)</f>
        <v>Automotive</v>
      </c>
      <c r="P2" t="str">
        <f>VLOOKUP(Invoices[[#This Row],[Customer Account]],Customers[],3,0)</f>
        <v>Tennessee</v>
      </c>
      <c r="Q2" t="str">
        <f>VLOOKUP(Invoices[[#This Row],[Part  '#]],Products[],3,0)</f>
        <v>Consumables</v>
      </c>
      <c r="R2" s="25">
        <f>Invoices[[#This Row],[Quantity]]*Invoices[[#This Row],[Unit Cost]]</f>
        <v>366.4</v>
      </c>
      <c r="S2" s="25">
        <f>Invoices[[#This Row],[Quantity]]*Invoices[[#This Row],[New Unit Price]]</f>
        <v>1440</v>
      </c>
      <c r="T2" s="25">
        <f>Invoices[[#This Row],[Revenue]]-Invoices[[#This Row],[Cost]]</f>
        <v>1073.5999999999999</v>
      </c>
      <c r="U2" s="25" t="str">
        <f>TEXT(Invoices[[#This Row],[Date]],"MMM")</f>
        <v>Jan</v>
      </c>
      <c r="V2" s="29">
        <f>CHOOSE(MONTH(Invoices[[#This Row],[Date]]),1,1,1,2,2,2,3,3,3,4,4,4)</f>
        <v>1</v>
      </c>
      <c r="W2" s="30">
        <f>IFERROR(Invoices[[#This Row],[Profit]]/Invoices[[#This Row],[Revenue]],0)</f>
        <v>0.74555555555555553</v>
      </c>
    </row>
    <row r="3" spans="1:23" x14ac:dyDescent="0.3">
      <c r="A3" s="19" t="s">
        <v>5</v>
      </c>
      <c r="B3" s="4">
        <v>22801</v>
      </c>
      <c r="C3" s="15">
        <v>41275</v>
      </c>
      <c r="D3" s="9">
        <v>106</v>
      </c>
      <c r="E3" s="10" t="s">
        <v>69</v>
      </c>
      <c r="F3" s="8">
        <v>2</v>
      </c>
      <c r="G3" s="10"/>
      <c r="H3" s="4" t="s">
        <v>132</v>
      </c>
      <c r="I3" s="4" t="s">
        <v>49</v>
      </c>
      <c r="J3" s="4">
        <v>20</v>
      </c>
      <c r="K3" s="23">
        <v>70</v>
      </c>
      <c r="L3">
        <f>IF(Invoices[[#This Row],[Document Type]]="Return",Invoices[[#This Row],[Unit Price]]*-1,Invoices[[#This Row],[Unit Price]])</f>
        <v>70</v>
      </c>
      <c r="M3" t="str">
        <f>IF(Invoices[[#This Row],[New Unit Price]]&lt;0,"Return",
IF(Invoices[[#This Row],[New Unit Price]]=0,"Free",IF(Invoices[[#This Row],[New Unit Price]]&lt;100,"Basic","Premium")))</f>
        <v>Basic</v>
      </c>
      <c r="N3">
        <f>VLOOKUP(Invoices[[#This Row],[Part  '#]],Products[],4,0)</f>
        <v>13.92</v>
      </c>
      <c r="O3" t="str">
        <f>VLOOKUP(Invoices[[#This Row],[Customer Account]],Customers[],4,0)</f>
        <v>Automotive</v>
      </c>
      <c r="P3" t="str">
        <f>VLOOKUP(Invoices[[#This Row],[Customer Account]],Customers[],3,0)</f>
        <v>Tennessee</v>
      </c>
      <c r="Q3" t="str">
        <f>VLOOKUP(Invoices[[#This Row],[Part  '#]],Products[],3,0)</f>
        <v>Consumables</v>
      </c>
      <c r="R3" s="25">
        <f>Invoices[[#This Row],[Quantity]]*Invoices[[#This Row],[Unit Cost]]</f>
        <v>278.39999999999998</v>
      </c>
      <c r="S3" s="25">
        <f>Invoices[[#This Row],[Quantity]]*Invoices[[#This Row],[New Unit Price]]</f>
        <v>1400</v>
      </c>
      <c r="T3" s="25">
        <f>Invoices[[#This Row],[Revenue]]-Invoices[[#This Row],[Cost]]</f>
        <v>1121.5999999999999</v>
      </c>
      <c r="U3" s="25" t="str">
        <f>TEXT(Invoices[[#This Row],[Date]],"MMM")</f>
        <v>Jan</v>
      </c>
      <c r="V3" s="29">
        <f>CHOOSE(MONTH(Invoices[[#This Row],[Date]]),1,1,1,2,2,2,3,3,3,4,4,4)</f>
        <v>1</v>
      </c>
      <c r="W3" s="30">
        <f>IFERROR(Invoices[[#This Row],[Profit]]/Invoices[[#This Row],[Revenue]],0)</f>
        <v>0.80114285714285705</v>
      </c>
    </row>
    <row r="4" spans="1:23" x14ac:dyDescent="0.3">
      <c r="A4" s="19" t="s">
        <v>5</v>
      </c>
      <c r="B4" s="4">
        <v>22802</v>
      </c>
      <c r="C4" s="15">
        <v>41278</v>
      </c>
      <c r="D4" s="9">
        <v>107</v>
      </c>
      <c r="E4" s="10" t="s">
        <v>72</v>
      </c>
      <c r="F4" s="8">
        <v>1</v>
      </c>
      <c r="G4" s="10"/>
      <c r="H4" s="4" t="s">
        <v>125</v>
      </c>
      <c r="I4" s="4" t="s">
        <v>40</v>
      </c>
      <c r="J4" s="4">
        <v>10</v>
      </c>
      <c r="K4" s="23">
        <v>30</v>
      </c>
      <c r="L4">
        <f>IF(Invoices[[#This Row],[Document Type]]="Return",Invoices[[#This Row],[Unit Price]]*-1,Invoices[[#This Row],[Unit Price]])</f>
        <v>30</v>
      </c>
      <c r="M4" t="str">
        <f>IF(Invoices[[#This Row],[New Unit Price]]&lt;0,"Return",
IF(Invoices[[#This Row],[New Unit Price]]=0,"Free",IF(Invoices[[#This Row],[New Unit Price]]&lt;100,"Basic","Premium")))</f>
        <v>Basic</v>
      </c>
      <c r="N4">
        <f>VLOOKUP(Invoices[[#This Row],[Part  '#]],Products[],4,0)</f>
        <v>6.9</v>
      </c>
      <c r="O4" t="str">
        <f>VLOOKUP(Invoices[[#This Row],[Customer Account]],Customers[],4,0)</f>
        <v>Financial</v>
      </c>
      <c r="P4" t="str">
        <f>VLOOKUP(Invoices[[#This Row],[Customer Account]],Customers[],3,0)</f>
        <v>Georgia</v>
      </c>
      <c r="Q4" t="str">
        <f>VLOOKUP(Invoices[[#This Row],[Part  '#]],Products[],3,0)</f>
        <v>Consumables</v>
      </c>
      <c r="R4" s="25">
        <f>Invoices[[#This Row],[Quantity]]*Invoices[[#This Row],[Unit Cost]]</f>
        <v>69</v>
      </c>
      <c r="S4" s="25">
        <f>Invoices[[#This Row],[Quantity]]*Invoices[[#This Row],[New Unit Price]]</f>
        <v>300</v>
      </c>
      <c r="T4" s="25">
        <f>Invoices[[#This Row],[Revenue]]-Invoices[[#This Row],[Cost]]</f>
        <v>231</v>
      </c>
      <c r="U4" s="25" t="str">
        <f>TEXT(Invoices[[#This Row],[Date]],"MMM")</f>
        <v>Jan</v>
      </c>
      <c r="V4" s="29">
        <f>CHOOSE(MONTH(Invoices[[#This Row],[Date]]),1,1,1,2,2,2,3,3,3,4,4,4)</f>
        <v>1</v>
      </c>
      <c r="W4" s="30">
        <f>IFERROR(Invoices[[#This Row],[Profit]]/Invoices[[#This Row],[Revenue]],0)</f>
        <v>0.77</v>
      </c>
    </row>
    <row r="5" spans="1:23" x14ac:dyDescent="0.3">
      <c r="A5" s="19" t="s">
        <v>5</v>
      </c>
      <c r="B5" s="4">
        <v>22802</v>
      </c>
      <c r="C5" s="15">
        <v>41278</v>
      </c>
      <c r="D5" s="9">
        <v>107</v>
      </c>
      <c r="E5" s="10" t="s">
        <v>72</v>
      </c>
      <c r="F5" s="8">
        <v>2</v>
      </c>
      <c r="G5" s="10"/>
      <c r="H5" s="4" t="s">
        <v>132</v>
      </c>
      <c r="I5" s="4" t="s">
        <v>49</v>
      </c>
      <c r="J5" s="4">
        <v>2</v>
      </c>
      <c r="K5" s="23">
        <v>70</v>
      </c>
      <c r="L5">
        <f>IF(Invoices[[#This Row],[Document Type]]="Return",Invoices[[#This Row],[Unit Price]]*-1,Invoices[[#This Row],[Unit Price]])</f>
        <v>70</v>
      </c>
      <c r="M5" t="str">
        <f>IF(Invoices[[#This Row],[New Unit Price]]&lt;0,"Return",
IF(Invoices[[#This Row],[New Unit Price]]=0,"Free",IF(Invoices[[#This Row],[New Unit Price]]&lt;100,"Basic","Premium")))</f>
        <v>Basic</v>
      </c>
      <c r="N5">
        <f>VLOOKUP(Invoices[[#This Row],[Part  '#]],Products[],4,0)</f>
        <v>13.92</v>
      </c>
      <c r="O5" t="str">
        <f>VLOOKUP(Invoices[[#This Row],[Customer Account]],Customers[],4,0)</f>
        <v>Financial</v>
      </c>
      <c r="P5" t="str">
        <f>VLOOKUP(Invoices[[#This Row],[Customer Account]],Customers[],3,0)</f>
        <v>Georgia</v>
      </c>
      <c r="Q5" t="str">
        <f>VLOOKUP(Invoices[[#This Row],[Part  '#]],Products[],3,0)</f>
        <v>Consumables</v>
      </c>
      <c r="R5" s="25">
        <f>Invoices[[#This Row],[Quantity]]*Invoices[[#This Row],[Unit Cost]]</f>
        <v>27.84</v>
      </c>
      <c r="S5" s="25">
        <f>Invoices[[#This Row],[Quantity]]*Invoices[[#This Row],[New Unit Price]]</f>
        <v>140</v>
      </c>
      <c r="T5" s="25">
        <f>Invoices[[#This Row],[Revenue]]-Invoices[[#This Row],[Cost]]</f>
        <v>112.16</v>
      </c>
      <c r="U5" s="25" t="str">
        <f>TEXT(Invoices[[#This Row],[Date]],"MMM")</f>
        <v>Jan</v>
      </c>
      <c r="V5" s="29">
        <f>CHOOSE(MONTH(Invoices[[#This Row],[Date]]),1,1,1,2,2,2,3,3,3,4,4,4)</f>
        <v>1</v>
      </c>
      <c r="W5" s="30">
        <f>IFERROR(Invoices[[#This Row],[Profit]]/Invoices[[#This Row],[Revenue]],0)</f>
        <v>0.80114285714285716</v>
      </c>
    </row>
    <row r="6" spans="1:23" x14ac:dyDescent="0.3">
      <c r="A6" s="19" t="s">
        <v>5</v>
      </c>
      <c r="B6" s="4">
        <v>22803</v>
      </c>
      <c r="C6" s="15">
        <v>41279</v>
      </c>
      <c r="D6" s="9">
        <v>117</v>
      </c>
      <c r="E6" s="10" t="s">
        <v>85</v>
      </c>
      <c r="F6" s="8">
        <v>1</v>
      </c>
      <c r="G6" s="10"/>
      <c r="H6" s="4" t="s">
        <v>132</v>
      </c>
      <c r="I6" s="4" t="s">
        <v>49</v>
      </c>
      <c r="J6" s="4">
        <v>12</v>
      </c>
      <c r="K6" s="23">
        <v>70</v>
      </c>
      <c r="L6">
        <f>IF(Invoices[[#This Row],[Document Type]]="Return",Invoices[[#This Row],[Unit Price]]*-1,Invoices[[#This Row],[Unit Price]])</f>
        <v>70</v>
      </c>
      <c r="M6" t="str">
        <f>IF(Invoices[[#This Row],[New Unit Price]]&lt;0,"Return",
IF(Invoices[[#This Row],[New Unit Price]]=0,"Free",IF(Invoices[[#This Row],[New Unit Price]]&lt;100,"Basic","Premium")))</f>
        <v>Basic</v>
      </c>
      <c r="N6">
        <f>VLOOKUP(Invoices[[#This Row],[Part  '#]],Products[],4,0)</f>
        <v>13.92</v>
      </c>
      <c r="O6" t="str">
        <f>VLOOKUP(Invoices[[#This Row],[Customer Account]],Customers[],4,0)</f>
        <v>Automotive</v>
      </c>
      <c r="P6" t="str">
        <f>VLOOKUP(Invoices[[#This Row],[Customer Account]],Customers[],3,0)</f>
        <v>Georgia</v>
      </c>
      <c r="Q6" t="str">
        <f>VLOOKUP(Invoices[[#This Row],[Part  '#]],Products[],3,0)</f>
        <v>Consumables</v>
      </c>
      <c r="R6" s="25">
        <f>Invoices[[#This Row],[Quantity]]*Invoices[[#This Row],[Unit Cost]]</f>
        <v>167.04</v>
      </c>
      <c r="S6" s="25">
        <f>Invoices[[#This Row],[Quantity]]*Invoices[[#This Row],[New Unit Price]]</f>
        <v>840</v>
      </c>
      <c r="T6" s="25">
        <f>Invoices[[#This Row],[Revenue]]-Invoices[[#This Row],[Cost]]</f>
        <v>672.96</v>
      </c>
      <c r="U6" s="25" t="str">
        <f>TEXT(Invoices[[#This Row],[Date]],"MMM")</f>
        <v>Jan</v>
      </c>
      <c r="V6" s="29">
        <f>CHOOSE(MONTH(Invoices[[#This Row],[Date]]),1,1,1,2,2,2,3,3,3,4,4,4)</f>
        <v>1</v>
      </c>
      <c r="W6" s="30">
        <f>IFERROR(Invoices[[#This Row],[Profit]]/Invoices[[#This Row],[Revenue]],0)</f>
        <v>0.80114285714285716</v>
      </c>
    </row>
    <row r="7" spans="1:23" x14ac:dyDescent="0.3">
      <c r="A7" s="19" t="s">
        <v>5</v>
      </c>
      <c r="B7" s="4">
        <v>22803</v>
      </c>
      <c r="C7" s="15">
        <v>41279</v>
      </c>
      <c r="D7" s="9">
        <v>117</v>
      </c>
      <c r="E7" s="10" t="s">
        <v>85</v>
      </c>
      <c r="F7" s="8">
        <v>2</v>
      </c>
      <c r="G7" s="10"/>
      <c r="H7" s="4" t="s">
        <v>125</v>
      </c>
      <c r="I7" s="4" t="s">
        <v>40</v>
      </c>
      <c r="J7" s="4">
        <v>12</v>
      </c>
      <c r="K7" s="23">
        <v>30</v>
      </c>
      <c r="L7">
        <f>IF(Invoices[[#This Row],[Document Type]]="Return",Invoices[[#This Row],[Unit Price]]*-1,Invoices[[#This Row],[Unit Price]])</f>
        <v>30</v>
      </c>
      <c r="M7" t="str">
        <f>IF(Invoices[[#This Row],[New Unit Price]]&lt;0,"Return",
IF(Invoices[[#This Row],[New Unit Price]]=0,"Free",IF(Invoices[[#This Row],[New Unit Price]]&lt;100,"Basic","Premium")))</f>
        <v>Basic</v>
      </c>
      <c r="N7">
        <f>VLOOKUP(Invoices[[#This Row],[Part  '#]],Products[],4,0)</f>
        <v>6.9</v>
      </c>
      <c r="O7" t="str">
        <f>VLOOKUP(Invoices[[#This Row],[Customer Account]],Customers[],4,0)</f>
        <v>Automotive</v>
      </c>
      <c r="P7" t="str">
        <f>VLOOKUP(Invoices[[#This Row],[Customer Account]],Customers[],3,0)</f>
        <v>Georgia</v>
      </c>
      <c r="Q7" t="str">
        <f>VLOOKUP(Invoices[[#This Row],[Part  '#]],Products[],3,0)</f>
        <v>Consumables</v>
      </c>
      <c r="R7" s="25">
        <f>Invoices[[#This Row],[Quantity]]*Invoices[[#This Row],[Unit Cost]]</f>
        <v>82.800000000000011</v>
      </c>
      <c r="S7" s="25">
        <f>Invoices[[#This Row],[Quantity]]*Invoices[[#This Row],[New Unit Price]]</f>
        <v>360</v>
      </c>
      <c r="T7" s="25">
        <f>Invoices[[#This Row],[Revenue]]-Invoices[[#This Row],[Cost]]</f>
        <v>277.2</v>
      </c>
      <c r="U7" s="25" t="str">
        <f>TEXT(Invoices[[#This Row],[Date]],"MMM")</f>
        <v>Jan</v>
      </c>
      <c r="V7" s="29">
        <f>CHOOSE(MONTH(Invoices[[#This Row],[Date]]),1,1,1,2,2,2,3,3,3,4,4,4)</f>
        <v>1</v>
      </c>
      <c r="W7" s="30">
        <f>IFERROR(Invoices[[#This Row],[Profit]]/Invoices[[#This Row],[Revenue]],0)</f>
        <v>0.77</v>
      </c>
    </row>
    <row r="8" spans="1:23" x14ac:dyDescent="0.3">
      <c r="A8" s="19" t="s">
        <v>5</v>
      </c>
      <c r="B8" s="4">
        <v>22804</v>
      </c>
      <c r="C8" s="15">
        <v>41279</v>
      </c>
      <c r="D8" s="9">
        <v>112</v>
      </c>
      <c r="E8" s="10" t="s">
        <v>80</v>
      </c>
      <c r="F8" s="8">
        <v>1</v>
      </c>
      <c r="G8" s="10"/>
      <c r="H8" s="4" t="s">
        <v>132</v>
      </c>
      <c r="I8" s="4" t="s">
        <v>49</v>
      </c>
      <c r="J8" s="4">
        <v>5</v>
      </c>
      <c r="K8" s="23">
        <v>70</v>
      </c>
      <c r="L8">
        <f>IF(Invoices[[#This Row],[Document Type]]="Return",Invoices[[#This Row],[Unit Price]]*-1,Invoices[[#This Row],[Unit Price]])</f>
        <v>70</v>
      </c>
      <c r="M8" t="str">
        <f>IF(Invoices[[#This Row],[New Unit Price]]&lt;0,"Return",
IF(Invoices[[#This Row],[New Unit Price]]=0,"Free",IF(Invoices[[#This Row],[New Unit Price]]&lt;100,"Basic","Premium")))</f>
        <v>Basic</v>
      </c>
      <c r="N8">
        <f>VLOOKUP(Invoices[[#This Row],[Part  '#]],Products[],4,0)</f>
        <v>13.92</v>
      </c>
      <c r="O8" t="str">
        <f>VLOOKUP(Invoices[[#This Row],[Customer Account]],Customers[],4,0)</f>
        <v>Financial</v>
      </c>
      <c r="P8" t="str">
        <f>VLOOKUP(Invoices[[#This Row],[Customer Account]],Customers[],3,0)</f>
        <v>Georgia</v>
      </c>
      <c r="Q8" t="str">
        <f>VLOOKUP(Invoices[[#This Row],[Part  '#]],Products[],3,0)</f>
        <v>Consumables</v>
      </c>
      <c r="R8" s="25">
        <f>Invoices[[#This Row],[Quantity]]*Invoices[[#This Row],[Unit Cost]]</f>
        <v>69.599999999999994</v>
      </c>
      <c r="S8" s="25">
        <f>Invoices[[#This Row],[Quantity]]*Invoices[[#This Row],[New Unit Price]]</f>
        <v>350</v>
      </c>
      <c r="T8" s="25">
        <f>Invoices[[#This Row],[Revenue]]-Invoices[[#This Row],[Cost]]</f>
        <v>280.39999999999998</v>
      </c>
      <c r="U8" s="25" t="str">
        <f>TEXT(Invoices[[#This Row],[Date]],"MMM")</f>
        <v>Jan</v>
      </c>
      <c r="V8" s="29">
        <f>CHOOSE(MONTH(Invoices[[#This Row],[Date]]),1,1,1,2,2,2,3,3,3,4,4,4)</f>
        <v>1</v>
      </c>
      <c r="W8" s="30">
        <f>IFERROR(Invoices[[#This Row],[Profit]]/Invoices[[#This Row],[Revenue]],0)</f>
        <v>0.80114285714285705</v>
      </c>
    </row>
    <row r="9" spans="1:23" x14ac:dyDescent="0.3">
      <c r="A9" s="19" t="s">
        <v>5</v>
      </c>
      <c r="B9" s="4">
        <v>22804</v>
      </c>
      <c r="C9" s="15">
        <v>41279</v>
      </c>
      <c r="D9" s="9">
        <v>112</v>
      </c>
      <c r="E9" s="10" t="s">
        <v>80</v>
      </c>
      <c r="F9" s="8">
        <v>2</v>
      </c>
      <c r="G9" s="10"/>
      <c r="H9" s="4" t="s">
        <v>125</v>
      </c>
      <c r="I9" s="4" t="s">
        <v>40</v>
      </c>
      <c r="J9" s="4">
        <v>5</v>
      </c>
      <c r="K9" s="23">
        <v>30</v>
      </c>
      <c r="L9">
        <f>IF(Invoices[[#This Row],[Document Type]]="Return",Invoices[[#This Row],[Unit Price]]*-1,Invoices[[#This Row],[Unit Price]])</f>
        <v>30</v>
      </c>
      <c r="M9" t="str">
        <f>IF(Invoices[[#This Row],[New Unit Price]]&lt;0,"Return",
IF(Invoices[[#This Row],[New Unit Price]]=0,"Free",IF(Invoices[[#This Row],[New Unit Price]]&lt;100,"Basic","Premium")))</f>
        <v>Basic</v>
      </c>
      <c r="N9">
        <f>VLOOKUP(Invoices[[#This Row],[Part  '#]],Products[],4,0)</f>
        <v>6.9</v>
      </c>
      <c r="O9" t="str">
        <f>VLOOKUP(Invoices[[#This Row],[Customer Account]],Customers[],4,0)</f>
        <v>Financial</v>
      </c>
      <c r="P9" t="str">
        <f>VLOOKUP(Invoices[[#This Row],[Customer Account]],Customers[],3,0)</f>
        <v>Georgia</v>
      </c>
      <c r="Q9" t="str">
        <f>VLOOKUP(Invoices[[#This Row],[Part  '#]],Products[],3,0)</f>
        <v>Consumables</v>
      </c>
      <c r="R9" s="25">
        <f>Invoices[[#This Row],[Quantity]]*Invoices[[#This Row],[Unit Cost]]</f>
        <v>34.5</v>
      </c>
      <c r="S9" s="25">
        <f>Invoices[[#This Row],[Quantity]]*Invoices[[#This Row],[New Unit Price]]</f>
        <v>150</v>
      </c>
      <c r="T9" s="25">
        <f>Invoices[[#This Row],[Revenue]]-Invoices[[#This Row],[Cost]]</f>
        <v>115.5</v>
      </c>
      <c r="U9" s="25" t="str">
        <f>TEXT(Invoices[[#This Row],[Date]],"MMM")</f>
        <v>Jan</v>
      </c>
      <c r="V9" s="29">
        <f>CHOOSE(MONTH(Invoices[[#This Row],[Date]]),1,1,1,2,2,2,3,3,3,4,4,4)</f>
        <v>1</v>
      </c>
      <c r="W9" s="30">
        <f>IFERROR(Invoices[[#This Row],[Profit]]/Invoices[[#This Row],[Revenue]],0)</f>
        <v>0.77</v>
      </c>
    </row>
    <row r="10" spans="1:23" x14ac:dyDescent="0.3">
      <c r="A10" s="19" t="s">
        <v>5</v>
      </c>
      <c r="B10" s="4">
        <v>22805</v>
      </c>
      <c r="C10" s="15">
        <v>41284</v>
      </c>
      <c r="D10" s="9">
        <v>101</v>
      </c>
      <c r="E10" s="10" t="s">
        <v>61</v>
      </c>
      <c r="F10" s="8">
        <v>1</v>
      </c>
      <c r="G10" s="10"/>
      <c r="H10" s="4" t="s">
        <v>90</v>
      </c>
      <c r="I10" s="4" t="s">
        <v>88</v>
      </c>
      <c r="J10" s="4">
        <v>2</v>
      </c>
      <c r="K10" s="23">
        <v>500</v>
      </c>
      <c r="L10">
        <f>IF(Invoices[[#This Row],[Document Type]]="Return",Invoices[[#This Row],[Unit Price]]*-1,Invoices[[#This Row],[Unit Price]])</f>
        <v>500</v>
      </c>
      <c r="M10" t="str">
        <f>IF(Invoices[[#This Row],[New Unit Price]]&lt;0,"Return",
IF(Invoices[[#This Row],[New Unit Price]]=0,"Free",IF(Invoices[[#This Row],[New Unit Price]]&lt;100,"Basic","Premium")))</f>
        <v>Premium</v>
      </c>
      <c r="N10">
        <f>VLOOKUP(Invoices[[#This Row],[Part  '#]],Products[],4,0)</f>
        <v>295.10000000000002</v>
      </c>
      <c r="O10" t="str">
        <f>VLOOKUP(Invoices[[#This Row],[Customer Account]],Customers[],4,0)</f>
        <v>Automotive</v>
      </c>
      <c r="P10" t="str">
        <f>VLOOKUP(Invoices[[#This Row],[Customer Account]],Customers[],3,0)</f>
        <v>Georgia</v>
      </c>
      <c r="Q10" t="str">
        <f>VLOOKUP(Invoices[[#This Row],[Part  '#]],Products[],3,0)</f>
        <v>Product</v>
      </c>
      <c r="R10" s="25">
        <f>Invoices[[#This Row],[Quantity]]*Invoices[[#This Row],[Unit Cost]]</f>
        <v>590.20000000000005</v>
      </c>
      <c r="S10" s="25">
        <f>Invoices[[#This Row],[Quantity]]*Invoices[[#This Row],[New Unit Price]]</f>
        <v>1000</v>
      </c>
      <c r="T10" s="25">
        <f>Invoices[[#This Row],[Revenue]]-Invoices[[#This Row],[Cost]]</f>
        <v>409.79999999999995</v>
      </c>
      <c r="U10" s="25" t="str">
        <f>TEXT(Invoices[[#This Row],[Date]],"MMM")</f>
        <v>Jan</v>
      </c>
      <c r="V10" s="29">
        <f>CHOOSE(MONTH(Invoices[[#This Row],[Date]]),1,1,1,2,2,2,3,3,3,4,4,4)</f>
        <v>1</v>
      </c>
      <c r="W10" s="30">
        <f>IFERROR(Invoices[[#This Row],[Profit]]/Invoices[[#This Row],[Revenue]],0)</f>
        <v>0.40979999999999994</v>
      </c>
    </row>
    <row r="11" spans="1:23" x14ac:dyDescent="0.3">
      <c r="A11" s="19" t="s">
        <v>5</v>
      </c>
      <c r="B11" s="4">
        <v>22805</v>
      </c>
      <c r="C11" s="15">
        <v>41284</v>
      </c>
      <c r="D11" s="9">
        <v>101</v>
      </c>
      <c r="E11" s="10" t="s">
        <v>61</v>
      </c>
      <c r="F11" s="8">
        <v>2</v>
      </c>
      <c r="G11" s="10"/>
      <c r="H11" s="4" t="s">
        <v>109</v>
      </c>
      <c r="I11" s="4" t="s">
        <v>24</v>
      </c>
      <c r="J11" s="4">
        <v>2</v>
      </c>
      <c r="K11" s="23">
        <v>25</v>
      </c>
      <c r="L11">
        <f>IF(Invoices[[#This Row],[Document Type]]="Return",Invoices[[#This Row],[Unit Price]]*-1,Invoices[[#This Row],[Unit Price]])</f>
        <v>25</v>
      </c>
      <c r="M11" t="str">
        <f>IF(Invoices[[#This Row],[New Unit Price]]&lt;0,"Return",
IF(Invoices[[#This Row],[New Unit Price]]=0,"Free",IF(Invoices[[#This Row],[New Unit Price]]&lt;100,"Basic","Premium")))</f>
        <v>Basic</v>
      </c>
      <c r="N11">
        <f>VLOOKUP(Invoices[[#This Row],[Part  '#]],Products[],4,0)</f>
        <v>12.17</v>
      </c>
      <c r="O11" t="str">
        <f>VLOOKUP(Invoices[[#This Row],[Customer Account]],Customers[],4,0)</f>
        <v>Automotive</v>
      </c>
      <c r="P11" t="str">
        <f>VLOOKUP(Invoices[[#This Row],[Customer Account]],Customers[],3,0)</f>
        <v>Georgia</v>
      </c>
      <c r="Q11" t="str">
        <f>VLOOKUP(Invoices[[#This Row],[Part  '#]],Products[],3,0)</f>
        <v>Accessories</v>
      </c>
      <c r="R11" s="25">
        <f>Invoices[[#This Row],[Quantity]]*Invoices[[#This Row],[Unit Cost]]</f>
        <v>24.34</v>
      </c>
      <c r="S11" s="25">
        <f>Invoices[[#This Row],[Quantity]]*Invoices[[#This Row],[New Unit Price]]</f>
        <v>50</v>
      </c>
      <c r="T11" s="25">
        <f>Invoices[[#This Row],[Revenue]]-Invoices[[#This Row],[Cost]]</f>
        <v>25.66</v>
      </c>
      <c r="U11" s="25" t="str">
        <f>TEXT(Invoices[[#This Row],[Date]],"MMM")</f>
        <v>Jan</v>
      </c>
      <c r="V11" s="29">
        <f>CHOOSE(MONTH(Invoices[[#This Row],[Date]]),1,1,1,2,2,2,3,3,3,4,4,4)</f>
        <v>1</v>
      </c>
      <c r="W11" s="30">
        <f>IFERROR(Invoices[[#This Row],[Profit]]/Invoices[[#This Row],[Revenue]],0)</f>
        <v>0.51319999999999999</v>
      </c>
    </row>
    <row r="12" spans="1:23" x14ac:dyDescent="0.3">
      <c r="A12" s="19" t="s">
        <v>5</v>
      </c>
      <c r="B12" s="4">
        <v>22805</v>
      </c>
      <c r="C12" s="15">
        <v>41284</v>
      </c>
      <c r="D12" s="9">
        <v>101</v>
      </c>
      <c r="E12" s="10" t="s">
        <v>61</v>
      </c>
      <c r="F12" s="8">
        <v>3</v>
      </c>
      <c r="G12" s="10"/>
      <c r="H12" s="4" t="s">
        <v>116</v>
      </c>
      <c r="I12" s="4" t="s">
        <v>32</v>
      </c>
      <c r="J12" s="4">
        <v>2</v>
      </c>
      <c r="K12" s="23">
        <v>20</v>
      </c>
      <c r="L12">
        <f>IF(Invoices[[#This Row],[Document Type]]="Return",Invoices[[#This Row],[Unit Price]]*-1,Invoices[[#This Row],[Unit Price]])</f>
        <v>20</v>
      </c>
      <c r="M12" t="str">
        <f>IF(Invoices[[#This Row],[New Unit Price]]&lt;0,"Return",
IF(Invoices[[#This Row],[New Unit Price]]=0,"Free",IF(Invoices[[#This Row],[New Unit Price]]&lt;100,"Basic","Premium")))</f>
        <v>Basic</v>
      </c>
      <c r="N12">
        <f>VLOOKUP(Invoices[[#This Row],[Part  '#]],Products[],4,0)</f>
        <v>8.15</v>
      </c>
      <c r="O12" t="str">
        <f>VLOOKUP(Invoices[[#This Row],[Customer Account]],Customers[],4,0)</f>
        <v>Automotive</v>
      </c>
      <c r="P12" t="str">
        <f>VLOOKUP(Invoices[[#This Row],[Customer Account]],Customers[],3,0)</f>
        <v>Georgia</v>
      </c>
      <c r="Q12" t="str">
        <f>VLOOKUP(Invoices[[#This Row],[Part  '#]],Products[],3,0)</f>
        <v>Accessories</v>
      </c>
      <c r="R12" s="25">
        <f>Invoices[[#This Row],[Quantity]]*Invoices[[#This Row],[Unit Cost]]</f>
        <v>16.3</v>
      </c>
      <c r="S12" s="25">
        <f>Invoices[[#This Row],[Quantity]]*Invoices[[#This Row],[New Unit Price]]</f>
        <v>40</v>
      </c>
      <c r="T12" s="25">
        <f>Invoices[[#This Row],[Revenue]]-Invoices[[#This Row],[Cost]]</f>
        <v>23.7</v>
      </c>
      <c r="U12" s="25" t="str">
        <f>TEXT(Invoices[[#This Row],[Date]],"MMM")</f>
        <v>Jan</v>
      </c>
      <c r="V12" s="29">
        <f>CHOOSE(MONTH(Invoices[[#This Row],[Date]]),1,1,1,2,2,2,3,3,3,4,4,4)</f>
        <v>1</v>
      </c>
      <c r="W12" s="30">
        <f>IFERROR(Invoices[[#This Row],[Profit]]/Invoices[[#This Row],[Revenue]],0)</f>
        <v>0.59250000000000003</v>
      </c>
    </row>
    <row r="13" spans="1:23" x14ac:dyDescent="0.3">
      <c r="A13" s="19" t="s">
        <v>5</v>
      </c>
      <c r="B13" s="4">
        <v>22805</v>
      </c>
      <c r="C13" s="15">
        <v>41284</v>
      </c>
      <c r="D13" s="9">
        <v>101</v>
      </c>
      <c r="E13" s="10" t="s">
        <v>61</v>
      </c>
      <c r="F13" s="8">
        <v>4</v>
      </c>
      <c r="G13" s="10"/>
      <c r="H13" s="4" t="s">
        <v>118</v>
      </c>
      <c r="I13" s="4" t="s">
        <v>42</v>
      </c>
      <c r="J13" s="4">
        <v>2</v>
      </c>
      <c r="K13" s="23">
        <v>40</v>
      </c>
      <c r="L13">
        <f>IF(Invoices[[#This Row],[Document Type]]="Return",Invoices[[#This Row],[Unit Price]]*-1,Invoices[[#This Row],[Unit Price]])</f>
        <v>40</v>
      </c>
      <c r="M13" t="str">
        <f>IF(Invoices[[#This Row],[New Unit Price]]&lt;0,"Return",
IF(Invoices[[#This Row],[New Unit Price]]=0,"Free",IF(Invoices[[#This Row],[New Unit Price]]&lt;100,"Basic","Premium")))</f>
        <v>Basic</v>
      </c>
      <c r="N13">
        <f>VLOOKUP(Invoices[[#This Row],[Part  '#]],Products[],4,0)</f>
        <v>12.33</v>
      </c>
      <c r="O13" t="str">
        <f>VLOOKUP(Invoices[[#This Row],[Customer Account]],Customers[],4,0)</f>
        <v>Automotive</v>
      </c>
      <c r="P13" t="str">
        <f>VLOOKUP(Invoices[[#This Row],[Customer Account]],Customers[],3,0)</f>
        <v>Georgia</v>
      </c>
      <c r="Q13" t="str">
        <f>VLOOKUP(Invoices[[#This Row],[Part  '#]],Products[],3,0)</f>
        <v>Accessories</v>
      </c>
      <c r="R13" s="25">
        <f>Invoices[[#This Row],[Quantity]]*Invoices[[#This Row],[Unit Cost]]</f>
        <v>24.66</v>
      </c>
      <c r="S13" s="25">
        <f>Invoices[[#This Row],[Quantity]]*Invoices[[#This Row],[New Unit Price]]</f>
        <v>80</v>
      </c>
      <c r="T13" s="25">
        <f>Invoices[[#This Row],[Revenue]]-Invoices[[#This Row],[Cost]]</f>
        <v>55.34</v>
      </c>
      <c r="U13" s="25" t="str">
        <f>TEXT(Invoices[[#This Row],[Date]],"MMM")</f>
        <v>Jan</v>
      </c>
      <c r="V13" s="29">
        <f>CHOOSE(MONTH(Invoices[[#This Row],[Date]]),1,1,1,2,2,2,3,3,3,4,4,4)</f>
        <v>1</v>
      </c>
      <c r="W13" s="30">
        <f>IFERROR(Invoices[[#This Row],[Profit]]/Invoices[[#This Row],[Revenue]],0)</f>
        <v>0.69175000000000009</v>
      </c>
    </row>
    <row r="14" spans="1:23" x14ac:dyDescent="0.3">
      <c r="A14" s="19" t="s">
        <v>5</v>
      </c>
      <c r="B14" s="4">
        <v>22805</v>
      </c>
      <c r="C14" s="15">
        <v>41284</v>
      </c>
      <c r="D14" s="9">
        <v>101</v>
      </c>
      <c r="E14" s="10" t="s">
        <v>61</v>
      </c>
      <c r="F14" s="8">
        <v>5</v>
      </c>
      <c r="G14" s="10"/>
      <c r="H14" s="4" t="s">
        <v>120</v>
      </c>
      <c r="I14" s="4" t="s">
        <v>54</v>
      </c>
      <c r="J14" s="4">
        <v>2</v>
      </c>
      <c r="K14" s="23">
        <v>250</v>
      </c>
      <c r="L14">
        <f>IF(Invoices[[#This Row],[Document Type]]="Return",Invoices[[#This Row],[Unit Price]]*-1,Invoices[[#This Row],[Unit Price]])</f>
        <v>250</v>
      </c>
      <c r="M14" t="str">
        <f>IF(Invoices[[#This Row],[New Unit Price]]&lt;0,"Return",
IF(Invoices[[#This Row],[New Unit Price]]=0,"Free",IF(Invoices[[#This Row],[New Unit Price]]&lt;100,"Basic","Premium")))</f>
        <v>Premium</v>
      </c>
      <c r="N14">
        <f>VLOOKUP(Invoices[[#This Row],[Part  '#]],Products[],4,0)</f>
        <v>89.7</v>
      </c>
      <c r="O14" t="str">
        <f>VLOOKUP(Invoices[[#This Row],[Customer Account]],Customers[],4,0)</f>
        <v>Automotive</v>
      </c>
      <c r="P14" t="str">
        <f>VLOOKUP(Invoices[[#This Row],[Customer Account]],Customers[],3,0)</f>
        <v>Georgia</v>
      </c>
      <c r="Q14" t="str">
        <f>VLOOKUP(Invoices[[#This Row],[Part  '#]],Products[],3,0)</f>
        <v>Accessories</v>
      </c>
      <c r="R14" s="25">
        <f>Invoices[[#This Row],[Quantity]]*Invoices[[#This Row],[Unit Cost]]</f>
        <v>179.4</v>
      </c>
      <c r="S14" s="25">
        <f>Invoices[[#This Row],[Quantity]]*Invoices[[#This Row],[New Unit Price]]</f>
        <v>500</v>
      </c>
      <c r="T14" s="25">
        <f>Invoices[[#This Row],[Revenue]]-Invoices[[#This Row],[Cost]]</f>
        <v>320.60000000000002</v>
      </c>
      <c r="U14" s="25" t="str">
        <f>TEXT(Invoices[[#This Row],[Date]],"MMM")</f>
        <v>Jan</v>
      </c>
      <c r="V14" s="29">
        <f>CHOOSE(MONTH(Invoices[[#This Row],[Date]]),1,1,1,2,2,2,3,3,3,4,4,4)</f>
        <v>1</v>
      </c>
      <c r="W14" s="30">
        <f>IFERROR(Invoices[[#This Row],[Profit]]/Invoices[[#This Row],[Revenue]],0)</f>
        <v>0.64119999999999999</v>
      </c>
    </row>
    <row r="15" spans="1:23" x14ac:dyDescent="0.3">
      <c r="A15" s="19" t="s">
        <v>5</v>
      </c>
      <c r="B15" s="4">
        <v>22807</v>
      </c>
      <c r="C15" s="15">
        <v>41284</v>
      </c>
      <c r="D15" s="9">
        <v>101</v>
      </c>
      <c r="E15" s="10" t="s">
        <v>61</v>
      </c>
      <c r="F15" s="8">
        <v>6</v>
      </c>
      <c r="G15" s="10"/>
      <c r="H15" s="4" t="s">
        <v>123</v>
      </c>
      <c r="I15" s="4" t="s">
        <v>38</v>
      </c>
      <c r="J15" s="4">
        <v>10</v>
      </c>
      <c r="K15" s="23">
        <v>20</v>
      </c>
      <c r="L15">
        <f>IF(Invoices[[#This Row],[Document Type]]="Return",Invoices[[#This Row],[Unit Price]]*-1,Invoices[[#This Row],[Unit Price]])</f>
        <v>20</v>
      </c>
      <c r="M15" t="str">
        <f>IF(Invoices[[#This Row],[New Unit Price]]&lt;0,"Return",
IF(Invoices[[#This Row],[New Unit Price]]=0,"Free",IF(Invoices[[#This Row],[New Unit Price]]&lt;100,"Basic","Premium")))</f>
        <v>Basic</v>
      </c>
      <c r="N15">
        <f>VLOOKUP(Invoices[[#This Row],[Part  '#]],Products[],4,0)</f>
        <v>4.58</v>
      </c>
      <c r="O15" t="str">
        <f>VLOOKUP(Invoices[[#This Row],[Customer Account]],Customers[],4,0)</f>
        <v>Automotive</v>
      </c>
      <c r="P15" t="str">
        <f>VLOOKUP(Invoices[[#This Row],[Customer Account]],Customers[],3,0)</f>
        <v>Georgia</v>
      </c>
      <c r="Q15" t="str">
        <f>VLOOKUP(Invoices[[#This Row],[Part  '#]],Products[],3,0)</f>
        <v>Consumables</v>
      </c>
      <c r="R15" s="25">
        <f>Invoices[[#This Row],[Quantity]]*Invoices[[#This Row],[Unit Cost]]</f>
        <v>45.8</v>
      </c>
      <c r="S15" s="25">
        <f>Invoices[[#This Row],[Quantity]]*Invoices[[#This Row],[New Unit Price]]</f>
        <v>200</v>
      </c>
      <c r="T15" s="25">
        <f>Invoices[[#This Row],[Revenue]]-Invoices[[#This Row],[Cost]]</f>
        <v>154.19999999999999</v>
      </c>
      <c r="U15" s="25" t="str">
        <f>TEXT(Invoices[[#This Row],[Date]],"MMM")</f>
        <v>Jan</v>
      </c>
      <c r="V15" s="29">
        <f>CHOOSE(MONTH(Invoices[[#This Row],[Date]]),1,1,1,2,2,2,3,3,3,4,4,4)</f>
        <v>1</v>
      </c>
      <c r="W15" s="30">
        <f>IFERROR(Invoices[[#This Row],[Profit]]/Invoices[[#This Row],[Revenue]],0)</f>
        <v>0.77099999999999991</v>
      </c>
    </row>
    <row r="16" spans="1:23" x14ac:dyDescent="0.3">
      <c r="A16" s="19" t="s">
        <v>5</v>
      </c>
      <c r="B16" s="4">
        <v>22808</v>
      </c>
      <c r="C16" s="15">
        <v>41284</v>
      </c>
      <c r="D16" s="9">
        <v>113</v>
      </c>
      <c r="E16" s="10" t="s">
        <v>81</v>
      </c>
      <c r="F16" s="8">
        <v>1</v>
      </c>
      <c r="G16" s="10"/>
      <c r="H16" s="4" t="s">
        <v>92</v>
      </c>
      <c r="I16" s="4" t="s">
        <v>10</v>
      </c>
      <c r="J16" s="4">
        <v>1</v>
      </c>
      <c r="K16" s="23">
        <v>1500</v>
      </c>
      <c r="L16">
        <f>IF(Invoices[[#This Row],[Document Type]]="Return",Invoices[[#This Row],[Unit Price]]*-1,Invoices[[#This Row],[Unit Price]])</f>
        <v>1500</v>
      </c>
      <c r="M16" t="str">
        <f>IF(Invoices[[#This Row],[New Unit Price]]&lt;0,"Return",
IF(Invoices[[#This Row],[New Unit Price]]=0,"Free",IF(Invoices[[#This Row],[New Unit Price]]&lt;100,"Basic","Premium")))</f>
        <v>Premium</v>
      </c>
      <c r="N16">
        <f>VLOOKUP(Invoices[[#This Row],[Part  '#]],Products[],4,0)</f>
        <v>899.1</v>
      </c>
      <c r="O16" t="str">
        <f>VLOOKUP(Invoices[[#This Row],[Customer Account]],Customers[],4,0)</f>
        <v>Financial</v>
      </c>
      <c r="P16" t="str">
        <f>VLOOKUP(Invoices[[#This Row],[Customer Account]],Customers[],3,0)</f>
        <v>Georgia</v>
      </c>
      <c r="Q16" t="str">
        <f>VLOOKUP(Invoices[[#This Row],[Part  '#]],Products[],3,0)</f>
        <v>Product</v>
      </c>
      <c r="R16" s="25">
        <f>Invoices[[#This Row],[Quantity]]*Invoices[[#This Row],[Unit Cost]]</f>
        <v>899.1</v>
      </c>
      <c r="S16" s="25">
        <f>Invoices[[#This Row],[Quantity]]*Invoices[[#This Row],[New Unit Price]]</f>
        <v>1500</v>
      </c>
      <c r="T16" s="25">
        <f>Invoices[[#This Row],[Revenue]]-Invoices[[#This Row],[Cost]]</f>
        <v>600.9</v>
      </c>
      <c r="U16" s="25" t="str">
        <f>TEXT(Invoices[[#This Row],[Date]],"MMM")</f>
        <v>Jan</v>
      </c>
      <c r="V16" s="29">
        <f>CHOOSE(MONTH(Invoices[[#This Row],[Date]]),1,1,1,2,2,2,3,3,3,4,4,4)</f>
        <v>1</v>
      </c>
      <c r="W16" s="30">
        <f>IFERROR(Invoices[[#This Row],[Profit]]/Invoices[[#This Row],[Revenue]],0)</f>
        <v>0.40060000000000001</v>
      </c>
    </row>
    <row r="17" spans="1:23" x14ac:dyDescent="0.3">
      <c r="A17" s="19" t="s">
        <v>5</v>
      </c>
      <c r="B17" s="4">
        <v>22808</v>
      </c>
      <c r="C17" s="15">
        <v>41284</v>
      </c>
      <c r="D17" s="9">
        <v>113</v>
      </c>
      <c r="E17" s="10" t="s">
        <v>81</v>
      </c>
      <c r="F17" s="8">
        <v>2</v>
      </c>
      <c r="G17" s="10"/>
      <c r="H17" s="4" t="s">
        <v>110</v>
      </c>
      <c r="I17" s="4" t="s">
        <v>25</v>
      </c>
      <c r="J17" s="4">
        <v>1</v>
      </c>
      <c r="K17" s="23">
        <v>0</v>
      </c>
      <c r="L17">
        <f>IF(Invoices[[#This Row],[Document Type]]="Return",Invoices[[#This Row],[Unit Price]]*-1,Invoices[[#This Row],[Unit Price]])</f>
        <v>0</v>
      </c>
      <c r="M17" t="str">
        <f>IF(Invoices[[#This Row],[New Unit Price]]&lt;0,"Return",
IF(Invoices[[#This Row],[New Unit Price]]=0,"Free",IF(Invoices[[#This Row],[New Unit Price]]&lt;100,"Basic","Premium")))</f>
        <v>Free</v>
      </c>
      <c r="N17">
        <f>VLOOKUP(Invoices[[#This Row],[Part  '#]],Products[],4,0)</f>
        <v>13.79</v>
      </c>
      <c r="O17" t="str">
        <f>VLOOKUP(Invoices[[#This Row],[Customer Account]],Customers[],4,0)</f>
        <v>Financial</v>
      </c>
      <c r="P17" t="str">
        <f>VLOOKUP(Invoices[[#This Row],[Customer Account]],Customers[],3,0)</f>
        <v>Georgia</v>
      </c>
      <c r="Q17" t="str">
        <f>VLOOKUP(Invoices[[#This Row],[Part  '#]],Products[],3,0)</f>
        <v>Accessories</v>
      </c>
      <c r="R17" s="25">
        <f>Invoices[[#This Row],[Quantity]]*Invoices[[#This Row],[Unit Cost]]</f>
        <v>13.79</v>
      </c>
      <c r="S17" s="25">
        <f>Invoices[[#This Row],[Quantity]]*Invoices[[#This Row],[New Unit Price]]</f>
        <v>0</v>
      </c>
      <c r="T17" s="25">
        <f>Invoices[[#This Row],[Revenue]]-Invoices[[#This Row],[Cost]]</f>
        <v>-13.79</v>
      </c>
      <c r="U17" s="25" t="str">
        <f>TEXT(Invoices[[#This Row],[Date]],"MMM")</f>
        <v>Jan</v>
      </c>
      <c r="V17" s="29">
        <f>CHOOSE(MONTH(Invoices[[#This Row],[Date]]),1,1,1,2,2,2,3,3,3,4,4,4)</f>
        <v>1</v>
      </c>
      <c r="W17" s="30">
        <f>IFERROR(Invoices[[#This Row],[Profit]]/Invoices[[#This Row],[Revenue]],0)</f>
        <v>0</v>
      </c>
    </row>
    <row r="18" spans="1:23" x14ac:dyDescent="0.3">
      <c r="A18" s="19" t="s">
        <v>5</v>
      </c>
      <c r="B18" s="4">
        <v>22808</v>
      </c>
      <c r="C18" s="15">
        <v>41284</v>
      </c>
      <c r="D18" s="9">
        <v>113</v>
      </c>
      <c r="E18" s="10" t="s">
        <v>81</v>
      </c>
      <c r="F18" s="8">
        <v>3</v>
      </c>
      <c r="G18" s="10"/>
      <c r="H18" s="4" t="s">
        <v>117</v>
      </c>
      <c r="I18" s="4" t="s">
        <v>33</v>
      </c>
      <c r="J18" s="4">
        <v>1</v>
      </c>
      <c r="K18" s="23">
        <v>0</v>
      </c>
      <c r="L18">
        <f>IF(Invoices[[#This Row],[Document Type]]="Return",Invoices[[#This Row],[Unit Price]]*-1,Invoices[[#This Row],[Unit Price]])</f>
        <v>0</v>
      </c>
      <c r="M18" t="str">
        <f>IF(Invoices[[#This Row],[New Unit Price]]&lt;0,"Return",
IF(Invoices[[#This Row],[New Unit Price]]=0,"Free",IF(Invoices[[#This Row],[New Unit Price]]&lt;100,"Basic","Premium")))</f>
        <v>Free</v>
      </c>
      <c r="N18">
        <f>VLOOKUP(Invoices[[#This Row],[Part  '#]],Products[],4,0)</f>
        <v>11.59</v>
      </c>
      <c r="O18" t="str">
        <f>VLOOKUP(Invoices[[#This Row],[Customer Account]],Customers[],4,0)</f>
        <v>Financial</v>
      </c>
      <c r="P18" t="str">
        <f>VLOOKUP(Invoices[[#This Row],[Customer Account]],Customers[],3,0)</f>
        <v>Georgia</v>
      </c>
      <c r="Q18" t="str">
        <f>VLOOKUP(Invoices[[#This Row],[Part  '#]],Products[],3,0)</f>
        <v>Accessories</v>
      </c>
      <c r="R18" s="25">
        <f>Invoices[[#This Row],[Quantity]]*Invoices[[#This Row],[Unit Cost]]</f>
        <v>11.59</v>
      </c>
      <c r="S18" s="25">
        <f>Invoices[[#This Row],[Quantity]]*Invoices[[#This Row],[New Unit Price]]</f>
        <v>0</v>
      </c>
      <c r="T18" s="25">
        <f>Invoices[[#This Row],[Revenue]]-Invoices[[#This Row],[Cost]]</f>
        <v>-11.59</v>
      </c>
      <c r="U18" s="25" t="str">
        <f>TEXT(Invoices[[#This Row],[Date]],"MMM")</f>
        <v>Jan</v>
      </c>
      <c r="V18" s="29">
        <f>CHOOSE(MONTH(Invoices[[#This Row],[Date]]),1,1,1,2,2,2,3,3,3,4,4,4)</f>
        <v>1</v>
      </c>
      <c r="W18" s="30">
        <f>IFERROR(Invoices[[#This Row],[Profit]]/Invoices[[#This Row],[Revenue]],0)</f>
        <v>0</v>
      </c>
    </row>
    <row r="19" spans="1:23" x14ac:dyDescent="0.3">
      <c r="A19" s="19" t="s">
        <v>5</v>
      </c>
      <c r="B19" s="4">
        <v>22808</v>
      </c>
      <c r="C19" s="15">
        <v>41284</v>
      </c>
      <c r="D19" s="9">
        <v>113</v>
      </c>
      <c r="E19" s="10" t="s">
        <v>81</v>
      </c>
      <c r="F19" s="8">
        <v>4</v>
      </c>
      <c r="G19" s="10"/>
      <c r="H19" s="4" t="s">
        <v>118</v>
      </c>
      <c r="I19" s="4" t="s">
        <v>42</v>
      </c>
      <c r="J19" s="4">
        <v>1</v>
      </c>
      <c r="K19" s="23">
        <v>0</v>
      </c>
      <c r="L19">
        <f>IF(Invoices[[#This Row],[Document Type]]="Return",Invoices[[#This Row],[Unit Price]]*-1,Invoices[[#This Row],[Unit Price]])</f>
        <v>0</v>
      </c>
      <c r="M19" t="str">
        <f>IF(Invoices[[#This Row],[New Unit Price]]&lt;0,"Return",
IF(Invoices[[#This Row],[New Unit Price]]=0,"Free",IF(Invoices[[#This Row],[New Unit Price]]&lt;100,"Basic","Premium")))</f>
        <v>Free</v>
      </c>
      <c r="N19">
        <f>VLOOKUP(Invoices[[#This Row],[Part  '#]],Products[],4,0)</f>
        <v>12.33</v>
      </c>
      <c r="O19" t="str">
        <f>VLOOKUP(Invoices[[#This Row],[Customer Account]],Customers[],4,0)</f>
        <v>Financial</v>
      </c>
      <c r="P19" t="str">
        <f>VLOOKUP(Invoices[[#This Row],[Customer Account]],Customers[],3,0)</f>
        <v>Georgia</v>
      </c>
      <c r="Q19" t="str">
        <f>VLOOKUP(Invoices[[#This Row],[Part  '#]],Products[],3,0)</f>
        <v>Accessories</v>
      </c>
      <c r="R19" s="25">
        <f>Invoices[[#This Row],[Quantity]]*Invoices[[#This Row],[Unit Cost]]</f>
        <v>12.33</v>
      </c>
      <c r="S19" s="25">
        <f>Invoices[[#This Row],[Quantity]]*Invoices[[#This Row],[New Unit Price]]</f>
        <v>0</v>
      </c>
      <c r="T19" s="25">
        <f>Invoices[[#This Row],[Revenue]]-Invoices[[#This Row],[Cost]]</f>
        <v>-12.33</v>
      </c>
      <c r="U19" s="25" t="str">
        <f>TEXT(Invoices[[#This Row],[Date]],"MMM")</f>
        <v>Jan</v>
      </c>
      <c r="V19" s="29">
        <f>CHOOSE(MONTH(Invoices[[#This Row],[Date]]),1,1,1,2,2,2,3,3,3,4,4,4)</f>
        <v>1</v>
      </c>
      <c r="W19" s="30">
        <f>IFERROR(Invoices[[#This Row],[Profit]]/Invoices[[#This Row],[Revenue]],0)</f>
        <v>0</v>
      </c>
    </row>
    <row r="20" spans="1:23" x14ac:dyDescent="0.3">
      <c r="A20" s="19" t="s">
        <v>5</v>
      </c>
      <c r="B20" s="4">
        <v>22808</v>
      </c>
      <c r="C20" s="15">
        <v>41284</v>
      </c>
      <c r="D20" s="9">
        <v>113</v>
      </c>
      <c r="E20" s="10" t="s">
        <v>81</v>
      </c>
      <c r="F20" s="8">
        <v>5</v>
      </c>
      <c r="G20" s="10"/>
      <c r="H20" s="4" t="s">
        <v>120</v>
      </c>
      <c r="I20" s="4" t="s">
        <v>54</v>
      </c>
      <c r="J20" s="4">
        <v>1</v>
      </c>
      <c r="K20" s="23">
        <v>0</v>
      </c>
      <c r="L20">
        <f>IF(Invoices[[#This Row],[Document Type]]="Return",Invoices[[#This Row],[Unit Price]]*-1,Invoices[[#This Row],[Unit Price]])</f>
        <v>0</v>
      </c>
      <c r="M20" t="str">
        <f>IF(Invoices[[#This Row],[New Unit Price]]&lt;0,"Return",
IF(Invoices[[#This Row],[New Unit Price]]=0,"Free",IF(Invoices[[#This Row],[New Unit Price]]&lt;100,"Basic","Premium")))</f>
        <v>Free</v>
      </c>
      <c r="N20">
        <f>VLOOKUP(Invoices[[#This Row],[Part  '#]],Products[],4,0)</f>
        <v>89.7</v>
      </c>
      <c r="O20" t="str">
        <f>VLOOKUP(Invoices[[#This Row],[Customer Account]],Customers[],4,0)</f>
        <v>Financial</v>
      </c>
      <c r="P20" t="str">
        <f>VLOOKUP(Invoices[[#This Row],[Customer Account]],Customers[],3,0)</f>
        <v>Georgia</v>
      </c>
      <c r="Q20" t="str">
        <f>VLOOKUP(Invoices[[#This Row],[Part  '#]],Products[],3,0)</f>
        <v>Accessories</v>
      </c>
      <c r="R20" s="25">
        <f>Invoices[[#This Row],[Quantity]]*Invoices[[#This Row],[Unit Cost]]</f>
        <v>89.7</v>
      </c>
      <c r="S20" s="25">
        <f>Invoices[[#This Row],[Quantity]]*Invoices[[#This Row],[New Unit Price]]</f>
        <v>0</v>
      </c>
      <c r="T20" s="25">
        <f>Invoices[[#This Row],[Revenue]]-Invoices[[#This Row],[Cost]]</f>
        <v>-89.7</v>
      </c>
      <c r="U20" s="25" t="str">
        <f>TEXT(Invoices[[#This Row],[Date]],"MMM")</f>
        <v>Jan</v>
      </c>
      <c r="V20" s="29">
        <f>CHOOSE(MONTH(Invoices[[#This Row],[Date]]),1,1,1,2,2,2,3,3,3,4,4,4)</f>
        <v>1</v>
      </c>
      <c r="W20" s="30">
        <f>IFERROR(Invoices[[#This Row],[Profit]]/Invoices[[#This Row],[Revenue]],0)</f>
        <v>0</v>
      </c>
    </row>
    <row r="21" spans="1:23" x14ac:dyDescent="0.3">
      <c r="A21" s="19" t="s">
        <v>5</v>
      </c>
      <c r="B21" s="4">
        <v>22808</v>
      </c>
      <c r="C21" s="15">
        <v>41284</v>
      </c>
      <c r="D21" s="9">
        <v>113</v>
      </c>
      <c r="E21" s="10" t="s">
        <v>81</v>
      </c>
      <c r="F21" s="8">
        <v>6</v>
      </c>
      <c r="G21" s="10"/>
      <c r="H21" s="4" t="s">
        <v>123</v>
      </c>
      <c r="I21" s="4" t="s">
        <v>38</v>
      </c>
      <c r="J21" s="4">
        <v>3</v>
      </c>
      <c r="K21" s="23">
        <v>20</v>
      </c>
      <c r="L21">
        <f>IF(Invoices[[#This Row],[Document Type]]="Return",Invoices[[#This Row],[Unit Price]]*-1,Invoices[[#This Row],[Unit Price]])</f>
        <v>20</v>
      </c>
      <c r="M21" t="str">
        <f>IF(Invoices[[#This Row],[New Unit Price]]&lt;0,"Return",
IF(Invoices[[#This Row],[New Unit Price]]=0,"Free",IF(Invoices[[#This Row],[New Unit Price]]&lt;100,"Basic","Premium")))</f>
        <v>Basic</v>
      </c>
      <c r="N21">
        <f>VLOOKUP(Invoices[[#This Row],[Part  '#]],Products[],4,0)</f>
        <v>4.58</v>
      </c>
      <c r="O21" t="str">
        <f>VLOOKUP(Invoices[[#This Row],[Customer Account]],Customers[],4,0)</f>
        <v>Financial</v>
      </c>
      <c r="P21" t="str">
        <f>VLOOKUP(Invoices[[#This Row],[Customer Account]],Customers[],3,0)</f>
        <v>Georgia</v>
      </c>
      <c r="Q21" t="str">
        <f>VLOOKUP(Invoices[[#This Row],[Part  '#]],Products[],3,0)</f>
        <v>Consumables</v>
      </c>
      <c r="R21" s="25">
        <f>Invoices[[#This Row],[Quantity]]*Invoices[[#This Row],[Unit Cost]]</f>
        <v>13.74</v>
      </c>
      <c r="S21" s="25">
        <f>Invoices[[#This Row],[Quantity]]*Invoices[[#This Row],[New Unit Price]]</f>
        <v>60</v>
      </c>
      <c r="T21" s="25">
        <f>Invoices[[#This Row],[Revenue]]-Invoices[[#This Row],[Cost]]</f>
        <v>46.26</v>
      </c>
      <c r="U21" s="25" t="str">
        <f>TEXT(Invoices[[#This Row],[Date]],"MMM")</f>
        <v>Jan</v>
      </c>
      <c r="V21" s="29">
        <f>CHOOSE(MONTH(Invoices[[#This Row],[Date]]),1,1,1,2,2,2,3,3,3,4,4,4)</f>
        <v>1</v>
      </c>
      <c r="W21" s="30">
        <f>IFERROR(Invoices[[#This Row],[Profit]]/Invoices[[#This Row],[Revenue]],0)</f>
        <v>0.77100000000000002</v>
      </c>
    </row>
    <row r="22" spans="1:23" x14ac:dyDescent="0.3">
      <c r="A22" s="19" t="s">
        <v>141</v>
      </c>
      <c r="B22" s="4">
        <v>22806</v>
      </c>
      <c r="C22" s="15">
        <v>41291</v>
      </c>
      <c r="D22" s="9">
        <v>101</v>
      </c>
      <c r="E22" s="10" t="s">
        <v>61</v>
      </c>
      <c r="F22" s="8">
        <v>1</v>
      </c>
      <c r="G22" s="10" t="s">
        <v>142</v>
      </c>
      <c r="H22" s="4" t="s">
        <v>109</v>
      </c>
      <c r="I22" s="4" t="s">
        <v>24</v>
      </c>
      <c r="J22" s="4">
        <v>2</v>
      </c>
      <c r="K22" s="23">
        <v>25</v>
      </c>
      <c r="L22">
        <f>IF(Invoices[[#This Row],[Document Type]]="Return",Invoices[[#This Row],[Unit Price]]*-1,Invoices[[#This Row],[Unit Price]])</f>
        <v>-25</v>
      </c>
      <c r="M22" t="str">
        <f>IF(Invoices[[#This Row],[New Unit Price]]&lt;0,"Return",
IF(Invoices[[#This Row],[New Unit Price]]=0,"Free",IF(Invoices[[#This Row],[New Unit Price]]&lt;100,"Basic","Premium")))</f>
        <v>Return</v>
      </c>
      <c r="N22">
        <f>VLOOKUP(Invoices[[#This Row],[Part  '#]],Products[],4,0)</f>
        <v>12.17</v>
      </c>
      <c r="O22" t="str">
        <f>VLOOKUP(Invoices[[#This Row],[Customer Account]],Customers[],4,0)</f>
        <v>Automotive</v>
      </c>
      <c r="P22" t="str">
        <f>VLOOKUP(Invoices[[#This Row],[Customer Account]],Customers[],3,0)</f>
        <v>Georgia</v>
      </c>
      <c r="Q22" t="str">
        <f>VLOOKUP(Invoices[[#This Row],[Part  '#]],Products[],3,0)</f>
        <v>Accessories</v>
      </c>
      <c r="R22" s="25">
        <f>Invoices[[#This Row],[Quantity]]*Invoices[[#This Row],[Unit Cost]]</f>
        <v>24.34</v>
      </c>
      <c r="S22" s="25">
        <f>Invoices[[#This Row],[Quantity]]*Invoices[[#This Row],[New Unit Price]]</f>
        <v>-50</v>
      </c>
      <c r="T22" s="25">
        <f>Invoices[[#This Row],[Revenue]]-Invoices[[#This Row],[Cost]]</f>
        <v>-74.34</v>
      </c>
      <c r="U22" s="25" t="str">
        <f>TEXT(Invoices[[#This Row],[Date]],"MMM")</f>
        <v>Jan</v>
      </c>
      <c r="V22" s="29">
        <f>CHOOSE(MONTH(Invoices[[#This Row],[Date]]),1,1,1,2,2,2,3,3,3,4,4,4)</f>
        <v>1</v>
      </c>
      <c r="W22" s="30">
        <f>IFERROR(Invoices[[#This Row],[Profit]]/Invoices[[#This Row],[Revenue]],0)</f>
        <v>1.4868000000000001</v>
      </c>
    </row>
    <row r="23" spans="1:23" x14ac:dyDescent="0.3">
      <c r="A23" s="19" t="s">
        <v>141</v>
      </c>
      <c r="B23" s="4">
        <v>22806</v>
      </c>
      <c r="C23" s="15">
        <v>41291</v>
      </c>
      <c r="D23" s="9">
        <v>101</v>
      </c>
      <c r="E23" s="10" t="s">
        <v>61</v>
      </c>
      <c r="F23" s="8">
        <v>2</v>
      </c>
      <c r="G23" s="10" t="s">
        <v>142</v>
      </c>
      <c r="H23" s="4" t="s">
        <v>116</v>
      </c>
      <c r="I23" s="4" t="s">
        <v>32</v>
      </c>
      <c r="J23" s="4">
        <v>2</v>
      </c>
      <c r="K23" s="23">
        <v>20</v>
      </c>
      <c r="L23">
        <f>IF(Invoices[[#This Row],[Document Type]]="Return",Invoices[[#This Row],[Unit Price]]*-1,Invoices[[#This Row],[Unit Price]])</f>
        <v>-20</v>
      </c>
      <c r="M23" t="str">
        <f>IF(Invoices[[#This Row],[New Unit Price]]&lt;0,"Return",
IF(Invoices[[#This Row],[New Unit Price]]=0,"Free",IF(Invoices[[#This Row],[New Unit Price]]&lt;100,"Basic","Premium")))</f>
        <v>Return</v>
      </c>
      <c r="N23">
        <f>VLOOKUP(Invoices[[#This Row],[Part  '#]],Products[],4,0)</f>
        <v>8.15</v>
      </c>
      <c r="O23" t="str">
        <f>VLOOKUP(Invoices[[#This Row],[Customer Account]],Customers[],4,0)</f>
        <v>Automotive</v>
      </c>
      <c r="P23" t="str">
        <f>VLOOKUP(Invoices[[#This Row],[Customer Account]],Customers[],3,0)</f>
        <v>Georgia</v>
      </c>
      <c r="Q23" t="str">
        <f>VLOOKUP(Invoices[[#This Row],[Part  '#]],Products[],3,0)</f>
        <v>Accessories</v>
      </c>
      <c r="R23" s="25">
        <f>Invoices[[#This Row],[Quantity]]*Invoices[[#This Row],[Unit Cost]]</f>
        <v>16.3</v>
      </c>
      <c r="S23" s="25">
        <f>Invoices[[#This Row],[Quantity]]*Invoices[[#This Row],[New Unit Price]]</f>
        <v>-40</v>
      </c>
      <c r="T23" s="25">
        <f>Invoices[[#This Row],[Revenue]]-Invoices[[#This Row],[Cost]]</f>
        <v>-56.3</v>
      </c>
      <c r="U23" s="25" t="str">
        <f>TEXT(Invoices[[#This Row],[Date]],"MMM")</f>
        <v>Jan</v>
      </c>
      <c r="V23" s="29">
        <f>CHOOSE(MONTH(Invoices[[#This Row],[Date]]),1,1,1,2,2,2,3,3,3,4,4,4)</f>
        <v>1</v>
      </c>
      <c r="W23" s="30">
        <f>IFERROR(Invoices[[#This Row],[Profit]]/Invoices[[#This Row],[Revenue]],0)</f>
        <v>1.4075</v>
      </c>
    </row>
    <row r="24" spans="1:23" x14ac:dyDescent="0.3">
      <c r="A24" s="19" t="s">
        <v>5</v>
      </c>
      <c r="B24" s="4">
        <v>22807</v>
      </c>
      <c r="C24" s="15">
        <v>41298</v>
      </c>
      <c r="D24" s="9">
        <v>101</v>
      </c>
      <c r="E24" s="10" t="s">
        <v>61</v>
      </c>
      <c r="F24" s="8">
        <v>1</v>
      </c>
      <c r="G24" s="10"/>
      <c r="H24" s="4" t="s">
        <v>109</v>
      </c>
      <c r="I24" s="4" t="s">
        <v>24</v>
      </c>
      <c r="J24" s="4">
        <v>2</v>
      </c>
      <c r="K24" s="23">
        <v>25</v>
      </c>
      <c r="L24">
        <f>IF(Invoices[[#This Row],[Document Type]]="Return",Invoices[[#This Row],[Unit Price]]*-1,Invoices[[#This Row],[Unit Price]])</f>
        <v>25</v>
      </c>
      <c r="M24" t="str">
        <f>IF(Invoices[[#This Row],[New Unit Price]]&lt;0,"Return",
IF(Invoices[[#This Row],[New Unit Price]]=0,"Free",IF(Invoices[[#This Row],[New Unit Price]]&lt;100,"Basic","Premium")))</f>
        <v>Basic</v>
      </c>
      <c r="N24">
        <f>VLOOKUP(Invoices[[#This Row],[Part  '#]],Products[],4,0)</f>
        <v>12.17</v>
      </c>
      <c r="O24" t="str">
        <f>VLOOKUP(Invoices[[#This Row],[Customer Account]],Customers[],4,0)</f>
        <v>Automotive</v>
      </c>
      <c r="P24" t="str">
        <f>VLOOKUP(Invoices[[#This Row],[Customer Account]],Customers[],3,0)</f>
        <v>Georgia</v>
      </c>
      <c r="Q24" t="str">
        <f>VLOOKUP(Invoices[[#This Row],[Part  '#]],Products[],3,0)</f>
        <v>Accessories</v>
      </c>
      <c r="R24" s="25">
        <f>Invoices[[#This Row],[Quantity]]*Invoices[[#This Row],[Unit Cost]]</f>
        <v>24.34</v>
      </c>
      <c r="S24" s="25">
        <f>Invoices[[#This Row],[Quantity]]*Invoices[[#This Row],[New Unit Price]]</f>
        <v>50</v>
      </c>
      <c r="T24" s="25">
        <f>Invoices[[#This Row],[Revenue]]-Invoices[[#This Row],[Cost]]</f>
        <v>25.66</v>
      </c>
      <c r="U24" s="25" t="str">
        <f>TEXT(Invoices[[#This Row],[Date]],"MMM")</f>
        <v>Jan</v>
      </c>
      <c r="V24" s="29">
        <f>CHOOSE(MONTH(Invoices[[#This Row],[Date]]),1,1,1,2,2,2,3,3,3,4,4,4)</f>
        <v>1</v>
      </c>
      <c r="W24" s="30">
        <f>IFERROR(Invoices[[#This Row],[Profit]]/Invoices[[#This Row],[Revenue]],0)</f>
        <v>0.51319999999999999</v>
      </c>
    </row>
    <row r="25" spans="1:23" x14ac:dyDescent="0.3">
      <c r="A25" s="19" t="s">
        <v>5</v>
      </c>
      <c r="B25" s="4">
        <v>22807</v>
      </c>
      <c r="C25" s="15">
        <v>41298</v>
      </c>
      <c r="D25" s="9">
        <v>101</v>
      </c>
      <c r="E25" s="10" t="s">
        <v>61</v>
      </c>
      <c r="F25" s="8">
        <v>2</v>
      </c>
      <c r="G25" s="10"/>
      <c r="H25" s="4" t="s">
        <v>116</v>
      </c>
      <c r="I25" s="4" t="s">
        <v>32</v>
      </c>
      <c r="J25" s="4">
        <v>2</v>
      </c>
      <c r="K25" s="23">
        <v>20</v>
      </c>
      <c r="L25">
        <f>IF(Invoices[[#This Row],[Document Type]]="Return",Invoices[[#This Row],[Unit Price]]*-1,Invoices[[#This Row],[Unit Price]])</f>
        <v>20</v>
      </c>
      <c r="M25" t="str">
        <f>IF(Invoices[[#This Row],[New Unit Price]]&lt;0,"Return",
IF(Invoices[[#This Row],[New Unit Price]]=0,"Free",IF(Invoices[[#This Row],[New Unit Price]]&lt;100,"Basic","Premium")))</f>
        <v>Basic</v>
      </c>
      <c r="N25">
        <f>VLOOKUP(Invoices[[#This Row],[Part  '#]],Products[],4,0)</f>
        <v>8.15</v>
      </c>
      <c r="O25" t="str">
        <f>VLOOKUP(Invoices[[#This Row],[Customer Account]],Customers[],4,0)</f>
        <v>Automotive</v>
      </c>
      <c r="P25" t="str">
        <f>VLOOKUP(Invoices[[#This Row],[Customer Account]],Customers[],3,0)</f>
        <v>Georgia</v>
      </c>
      <c r="Q25" t="str">
        <f>VLOOKUP(Invoices[[#This Row],[Part  '#]],Products[],3,0)</f>
        <v>Accessories</v>
      </c>
      <c r="R25" s="25">
        <f>Invoices[[#This Row],[Quantity]]*Invoices[[#This Row],[Unit Cost]]</f>
        <v>16.3</v>
      </c>
      <c r="S25" s="25">
        <f>Invoices[[#This Row],[Quantity]]*Invoices[[#This Row],[New Unit Price]]</f>
        <v>40</v>
      </c>
      <c r="T25" s="25">
        <f>Invoices[[#This Row],[Revenue]]-Invoices[[#This Row],[Cost]]</f>
        <v>23.7</v>
      </c>
      <c r="U25" s="25" t="str">
        <f>TEXT(Invoices[[#This Row],[Date]],"MMM")</f>
        <v>Jan</v>
      </c>
      <c r="V25" s="29">
        <f>CHOOSE(MONTH(Invoices[[#This Row],[Date]]),1,1,1,2,2,2,3,3,3,4,4,4)</f>
        <v>1</v>
      </c>
      <c r="W25" s="30">
        <f>IFERROR(Invoices[[#This Row],[Profit]]/Invoices[[#This Row],[Revenue]],0)</f>
        <v>0.59250000000000003</v>
      </c>
    </row>
    <row r="26" spans="1:23" x14ac:dyDescent="0.3">
      <c r="A26" s="19" t="s">
        <v>5</v>
      </c>
      <c r="B26" s="4">
        <v>22809</v>
      </c>
      <c r="C26" s="15">
        <v>41306</v>
      </c>
      <c r="D26" s="9">
        <v>106</v>
      </c>
      <c r="E26" s="10" t="s">
        <v>69</v>
      </c>
      <c r="F26" s="8">
        <v>1</v>
      </c>
      <c r="G26" s="10"/>
      <c r="H26" s="4" t="s">
        <v>123</v>
      </c>
      <c r="I26" s="4" t="s">
        <v>38</v>
      </c>
      <c r="J26" s="4">
        <v>80</v>
      </c>
      <c r="K26" s="23">
        <v>18</v>
      </c>
      <c r="L26">
        <f>IF(Invoices[[#This Row],[Document Type]]="Return",Invoices[[#This Row],[Unit Price]]*-1,Invoices[[#This Row],[Unit Price]])</f>
        <v>18</v>
      </c>
      <c r="M26" t="str">
        <f>IF(Invoices[[#This Row],[New Unit Price]]&lt;0,"Return",
IF(Invoices[[#This Row],[New Unit Price]]=0,"Free",IF(Invoices[[#This Row],[New Unit Price]]&lt;100,"Basic","Premium")))</f>
        <v>Basic</v>
      </c>
      <c r="N26">
        <f>VLOOKUP(Invoices[[#This Row],[Part  '#]],Products[],4,0)</f>
        <v>4.58</v>
      </c>
      <c r="O26" t="str">
        <f>VLOOKUP(Invoices[[#This Row],[Customer Account]],Customers[],4,0)</f>
        <v>Automotive</v>
      </c>
      <c r="P26" t="str">
        <f>VLOOKUP(Invoices[[#This Row],[Customer Account]],Customers[],3,0)</f>
        <v>Tennessee</v>
      </c>
      <c r="Q26" t="str">
        <f>VLOOKUP(Invoices[[#This Row],[Part  '#]],Products[],3,0)</f>
        <v>Consumables</v>
      </c>
      <c r="R26" s="25">
        <f>Invoices[[#This Row],[Quantity]]*Invoices[[#This Row],[Unit Cost]]</f>
        <v>366.4</v>
      </c>
      <c r="S26" s="25">
        <f>Invoices[[#This Row],[Quantity]]*Invoices[[#This Row],[New Unit Price]]</f>
        <v>1440</v>
      </c>
      <c r="T26" s="25">
        <f>Invoices[[#This Row],[Revenue]]-Invoices[[#This Row],[Cost]]</f>
        <v>1073.5999999999999</v>
      </c>
      <c r="U26" s="25" t="str">
        <f>TEXT(Invoices[[#This Row],[Date]],"MMM")</f>
        <v>Feb</v>
      </c>
      <c r="V26" s="29">
        <f>CHOOSE(MONTH(Invoices[[#This Row],[Date]]),1,1,1,2,2,2,3,3,3,4,4,4)</f>
        <v>1</v>
      </c>
      <c r="W26" s="30">
        <f>IFERROR(Invoices[[#This Row],[Profit]]/Invoices[[#This Row],[Revenue]],0)</f>
        <v>0.74555555555555553</v>
      </c>
    </row>
    <row r="27" spans="1:23" x14ac:dyDescent="0.3">
      <c r="A27" s="19" t="s">
        <v>5</v>
      </c>
      <c r="B27" s="4">
        <v>22809</v>
      </c>
      <c r="C27" s="15">
        <v>41306</v>
      </c>
      <c r="D27" s="9">
        <v>106</v>
      </c>
      <c r="E27" s="10" t="s">
        <v>69</v>
      </c>
      <c r="F27" s="8">
        <v>2</v>
      </c>
      <c r="G27" s="10"/>
      <c r="H27" s="4" t="s">
        <v>132</v>
      </c>
      <c r="I27" s="4" t="s">
        <v>49</v>
      </c>
      <c r="J27" s="4">
        <v>20</v>
      </c>
      <c r="K27" s="23">
        <v>70</v>
      </c>
      <c r="L27">
        <f>IF(Invoices[[#This Row],[Document Type]]="Return",Invoices[[#This Row],[Unit Price]]*-1,Invoices[[#This Row],[Unit Price]])</f>
        <v>70</v>
      </c>
      <c r="M27" t="str">
        <f>IF(Invoices[[#This Row],[New Unit Price]]&lt;0,"Return",
IF(Invoices[[#This Row],[New Unit Price]]=0,"Free",IF(Invoices[[#This Row],[New Unit Price]]&lt;100,"Basic","Premium")))</f>
        <v>Basic</v>
      </c>
      <c r="N27">
        <f>VLOOKUP(Invoices[[#This Row],[Part  '#]],Products[],4,0)</f>
        <v>13.92</v>
      </c>
      <c r="O27" t="str">
        <f>VLOOKUP(Invoices[[#This Row],[Customer Account]],Customers[],4,0)</f>
        <v>Automotive</v>
      </c>
      <c r="P27" t="str">
        <f>VLOOKUP(Invoices[[#This Row],[Customer Account]],Customers[],3,0)</f>
        <v>Tennessee</v>
      </c>
      <c r="Q27" t="str">
        <f>VLOOKUP(Invoices[[#This Row],[Part  '#]],Products[],3,0)</f>
        <v>Consumables</v>
      </c>
      <c r="R27" s="25">
        <f>Invoices[[#This Row],[Quantity]]*Invoices[[#This Row],[Unit Cost]]</f>
        <v>278.39999999999998</v>
      </c>
      <c r="S27" s="25">
        <f>Invoices[[#This Row],[Quantity]]*Invoices[[#This Row],[New Unit Price]]</f>
        <v>1400</v>
      </c>
      <c r="T27" s="25">
        <f>Invoices[[#This Row],[Revenue]]-Invoices[[#This Row],[Cost]]</f>
        <v>1121.5999999999999</v>
      </c>
      <c r="U27" s="25" t="str">
        <f>TEXT(Invoices[[#This Row],[Date]],"MMM")</f>
        <v>Feb</v>
      </c>
      <c r="V27" s="29">
        <f>CHOOSE(MONTH(Invoices[[#This Row],[Date]]),1,1,1,2,2,2,3,3,3,4,4,4)</f>
        <v>1</v>
      </c>
      <c r="W27" s="30">
        <f>IFERROR(Invoices[[#This Row],[Profit]]/Invoices[[#This Row],[Revenue]],0)</f>
        <v>0.80114285714285705</v>
      </c>
    </row>
    <row r="28" spans="1:23" x14ac:dyDescent="0.3">
      <c r="A28" s="19" t="s">
        <v>5</v>
      </c>
      <c r="B28" s="4">
        <v>22810</v>
      </c>
      <c r="C28" s="15">
        <v>41306</v>
      </c>
      <c r="D28" s="9">
        <v>107</v>
      </c>
      <c r="E28" s="10" t="s">
        <v>72</v>
      </c>
      <c r="F28" s="8">
        <v>1</v>
      </c>
      <c r="G28" s="10"/>
      <c r="H28" s="4" t="s">
        <v>125</v>
      </c>
      <c r="I28" s="4" t="s">
        <v>40</v>
      </c>
      <c r="J28" s="4">
        <v>10</v>
      </c>
      <c r="K28" s="23">
        <v>30</v>
      </c>
      <c r="L28">
        <f>IF(Invoices[[#This Row],[Document Type]]="Return",Invoices[[#This Row],[Unit Price]]*-1,Invoices[[#This Row],[Unit Price]])</f>
        <v>30</v>
      </c>
      <c r="M28" t="str">
        <f>IF(Invoices[[#This Row],[New Unit Price]]&lt;0,"Return",
IF(Invoices[[#This Row],[New Unit Price]]=0,"Free",IF(Invoices[[#This Row],[New Unit Price]]&lt;100,"Basic","Premium")))</f>
        <v>Basic</v>
      </c>
      <c r="N28">
        <f>VLOOKUP(Invoices[[#This Row],[Part  '#]],Products[],4,0)</f>
        <v>6.9</v>
      </c>
      <c r="O28" t="str">
        <f>VLOOKUP(Invoices[[#This Row],[Customer Account]],Customers[],4,0)</f>
        <v>Financial</v>
      </c>
      <c r="P28" t="str">
        <f>VLOOKUP(Invoices[[#This Row],[Customer Account]],Customers[],3,0)</f>
        <v>Georgia</v>
      </c>
      <c r="Q28" t="str">
        <f>VLOOKUP(Invoices[[#This Row],[Part  '#]],Products[],3,0)</f>
        <v>Consumables</v>
      </c>
      <c r="R28" s="25">
        <f>Invoices[[#This Row],[Quantity]]*Invoices[[#This Row],[Unit Cost]]</f>
        <v>69</v>
      </c>
      <c r="S28" s="25">
        <f>Invoices[[#This Row],[Quantity]]*Invoices[[#This Row],[New Unit Price]]</f>
        <v>300</v>
      </c>
      <c r="T28" s="25">
        <f>Invoices[[#This Row],[Revenue]]-Invoices[[#This Row],[Cost]]</f>
        <v>231</v>
      </c>
      <c r="U28" s="25" t="str">
        <f>TEXT(Invoices[[#This Row],[Date]],"MMM")</f>
        <v>Feb</v>
      </c>
      <c r="V28" s="29">
        <f>CHOOSE(MONTH(Invoices[[#This Row],[Date]]),1,1,1,2,2,2,3,3,3,4,4,4)</f>
        <v>1</v>
      </c>
      <c r="W28" s="30">
        <f>IFERROR(Invoices[[#This Row],[Profit]]/Invoices[[#This Row],[Revenue]],0)</f>
        <v>0.77</v>
      </c>
    </row>
    <row r="29" spans="1:23" x14ac:dyDescent="0.3">
      <c r="A29" s="19" t="s">
        <v>5</v>
      </c>
      <c r="B29" s="4">
        <v>22810</v>
      </c>
      <c r="C29" s="15">
        <v>41306</v>
      </c>
      <c r="D29" s="9">
        <v>107</v>
      </c>
      <c r="E29" s="10" t="s">
        <v>72</v>
      </c>
      <c r="F29" s="8">
        <v>2</v>
      </c>
      <c r="G29" s="10"/>
      <c r="H29" s="4" t="s">
        <v>132</v>
      </c>
      <c r="I29" s="4" t="s">
        <v>49</v>
      </c>
      <c r="J29" s="4">
        <v>2</v>
      </c>
      <c r="K29" s="23">
        <v>70</v>
      </c>
      <c r="L29">
        <f>IF(Invoices[[#This Row],[Document Type]]="Return",Invoices[[#This Row],[Unit Price]]*-1,Invoices[[#This Row],[Unit Price]])</f>
        <v>70</v>
      </c>
      <c r="M29" t="str">
        <f>IF(Invoices[[#This Row],[New Unit Price]]&lt;0,"Return",
IF(Invoices[[#This Row],[New Unit Price]]=0,"Free",IF(Invoices[[#This Row],[New Unit Price]]&lt;100,"Basic","Premium")))</f>
        <v>Basic</v>
      </c>
      <c r="N29">
        <f>VLOOKUP(Invoices[[#This Row],[Part  '#]],Products[],4,0)</f>
        <v>13.92</v>
      </c>
      <c r="O29" t="str">
        <f>VLOOKUP(Invoices[[#This Row],[Customer Account]],Customers[],4,0)</f>
        <v>Financial</v>
      </c>
      <c r="P29" t="str">
        <f>VLOOKUP(Invoices[[#This Row],[Customer Account]],Customers[],3,0)</f>
        <v>Georgia</v>
      </c>
      <c r="Q29" t="str">
        <f>VLOOKUP(Invoices[[#This Row],[Part  '#]],Products[],3,0)</f>
        <v>Consumables</v>
      </c>
      <c r="R29" s="25">
        <f>Invoices[[#This Row],[Quantity]]*Invoices[[#This Row],[Unit Cost]]</f>
        <v>27.84</v>
      </c>
      <c r="S29" s="25">
        <f>Invoices[[#This Row],[Quantity]]*Invoices[[#This Row],[New Unit Price]]</f>
        <v>140</v>
      </c>
      <c r="T29" s="25">
        <f>Invoices[[#This Row],[Revenue]]-Invoices[[#This Row],[Cost]]</f>
        <v>112.16</v>
      </c>
      <c r="U29" s="25" t="str">
        <f>TEXT(Invoices[[#This Row],[Date]],"MMM")</f>
        <v>Feb</v>
      </c>
      <c r="V29" s="29">
        <f>CHOOSE(MONTH(Invoices[[#This Row],[Date]]),1,1,1,2,2,2,3,3,3,4,4,4)</f>
        <v>1</v>
      </c>
      <c r="W29" s="30">
        <f>IFERROR(Invoices[[#This Row],[Profit]]/Invoices[[#This Row],[Revenue]],0)</f>
        <v>0.80114285714285716</v>
      </c>
    </row>
    <row r="30" spans="1:23" x14ac:dyDescent="0.3">
      <c r="A30" s="19" t="s">
        <v>5</v>
      </c>
      <c r="B30" s="4">
        <v>22811</v>
      </c>
      <c r="C30" s="15">
        <v>41306</v>
      </c>
      <c r="D30" s="9">
        <v>112</v>
      </c>
      <c r="E30" s="10" t="s">
        <v>80</v>
      </c>
      <c r="F30" s="8">
        <v>1</v>
      </c>
      <c r="G30" s="10"/>
      <c r="H30" s="4" t="s">
        <v>132</v>
      </c>
      <c r="I30" s="4" t="s">
        <v>49</v>
      </c>
      <c r="J30" s="4">
        <v>5</v>
      </c>
      <c r="K30" s="23">
        <v>70</v>
      </c>
      <c r="L30">
        <f>IF(Invoices[[#This Row],[Document Type]]="Return",Invoices[[#This Row],[Unit Price]]*-1,Invoices[[#This Row],[Unit Price]])</f>
        <v>70</v>
      </c>
      <c r="M30" t="str">
        <f>IF(Invoices[[#This Row],[New Unit Price]]&lt;0,"Return",
IF(Invoices[[#This Row],[New Unit Price]]=0,"Free",IF(Invoices[[#This Row],[New Unit Price]]&lt;100,"Basic","Premium")))</f>
        <v>Basic</v>
      </c>
      <c r="N30">
        <f>VLOOKUP(Invoices[[#This Row],[Part  '#]],Products[],4,0)</f>
        <v>13.92</v>
      </c>
      <c r="O30" t="str">
        <f>VLOOKUP(Invoices[[#This Row],[Customer Account]],Customers[],4,0)</f>
        <v>Financial</v>
      </c>
      <c r="P30" t="str">
        <f>VLOOKUP(Invoices[[#This Row],[Customer Account]],Customers[],3,0)</f>
        <v>Georgia</v>
      </c>
      <c r="Q30" t="str">
        <f>VLOOKUP(Invoices[[#This Row],[Part  '#]],Products[],3,0)</f>
        <v>Consumables</v>
      </c>
      <c r="R30" s="25">
        <f>Invoices[[#This Row],[Quantity]]*Invoices[[#This Row],[Unit Cost]]</f>
        <v>69.599999999999994</v>
      </c>
      <c r="S30" s="25">
        <f>Invoices[[#This Row],[Quantity]]*Invoices[[#This Row],[New Unit Price]]</f>
        <v>350</v>
      </c>
      <c r="T30" s="25">
        <f>Invoices[[#This Row],[Revenue]]-Invoices[[#This Row],[Cost]]</f>
        <v>280.39999999999998</v>
      </c>
      <c r="U30" s="25" t="str">
        <f>TEXT(Invoices[[#This Row],[Date]],"MMM")</f>
        <v>Feb</v>
      </c>
      <c r="V30" s="29">
        <f>CHOOSE(MONTH(Invoices[[#This Row],[Date]]),1,1,1,2,2,2,3,3,3,4,4,4)</f>
        <v>1</v>
      </c>
      <c r="W30" s="30">
        <f>IFERROR(Invoices[[#This Row],[Profit]]/Invoices[[#This Row],[Revenue]],0)</f>
        <v>0.80114285714285705</v>
      </c>
    </row>
    <row r="31" spans="1:23" x14ac:dyDescent="0.3">
      <c r="A31" s="19" t="s">
        <v>5</v>
      </c>
      <c r="B31" s="4">
        <v>22811</v>
      </c>
      <c r="C31" s="15">
        <v>41306</v>
      </c>
      <c r="D31" s="9">
        <v>112</v>
      </c>
      <c r="E31" s="10" t="s">
        <v>80</v>
      </c>
      <c r="F31" s="8">
        <v>2</v>
      </c>
      <c r="G31" s="10"/>
      <c r="H31" s="4" t="s">
        <v>125</v>
      </c>
      <c r="I31" s="4" t="s">
        <v>40</v>
      </c>
      <c r="J31" s="4">
        <v>5</v>
      </c>
      <c r="K31" s="23">
        <v>30</v>
      </c>
      <c r="L31">
        <f>IF(Invoices[[#This Row],[Document Type]]="Return",Invoices[[#This Row],[Unit Price]]*-1,Invoices[[#This Row],[Unit Price]])</f>
        <v>30</v>
      </c>
      <c r="M31" t="str">
        <f>IF(Invoices[[#This Row],[New Unit Price]]&lt;0,"Return",
IF(Invoices[[#This Row],[New Unit Price]]=0,"Free",IF(Invoices[[#This Row],[New Unit Price]]&lt;100,"Basic","Premium")))</f>
        <v>Basic</v>
      </c>
      <c r="N31">
        <f>VLOOKUP(Invoices[[#This Row],[Part  '#]],Products[],4,0)</f>
        <v>6.9</v>
      </c>
      <c r="O31" t="str">
        <f>VLOOKUP(Invoices[[#This Row],[Customer Account]],Customers[],4,0)</f>
        <v>Financial</v>
      </c>
      <c r="P31" t="str">
        <f>VLOOKUP(Invoices[[#This Row],[Customer Account]],Customers[],3,0)</f>
        <v>Georgia</v>
      </c>
      <c r="Q31" t="str">
        <f>VLOOKUP(Invoices[[#This Row],[Part  '#]],Products[],3,0)</f>
        <v>Consumables</v>
      </c>
      <c r="R31" s="25">
        <f>Invoices[[#This Row],[Quantity]]*Invoices[[#This Row],[Unit Cost]]</f>
        <v>34.5</v>
      </c>
      <c r="S31" s="25">
        <f>Invoices[[#This Row],[Quantity]]*Invoices[[#This Row],[New Unit Price]]</f>
        <v>150</v>
      </c>
      <c r="T31" s="25">
        <f>Invoices[[#This Row],[Revenue]]-Invoices[[#This Row],[Cost]]</f>
        <v>115.5</v>
      </c>
      <c r="U31" s="25" t="str">
        <f>TEXT(Invoices[[#This Row],[Date]],"MMM")</f>
        <v>Feb</v>
      </c>
      <c r="V31" s="29">
        <f>CHOOSE(MONTH(Invoices[[#This Row],[Date]]),1,1,1,2,2,2,3,3,3,4,4,4)</f>
        <v>1</v>
      </c>
      <c r="W31" s="30">
        <f>IFERROR(Invoices[[#This Row],[Profit]]/Invoices[[#This Row],[Revenue]],0)</f>
        <v>0.77</v>
      </c>
    </row>
    <row r="32" spans="1:23" x14ac:dyDescent="0.3">
      <c r="A32" s="19" t="s">
        <v>5</v>
      </c>
      <c r="B32" s="4">
        <v>22812</v>
      </c>
      <c r="C32" s="15">
        <v>41306</v>
      </c>
      <c r="D32" s="9">
        <v>117</v>
      </c>
      <c r="E32" s="10" t="s">
        <v>85</v>
      </c>
      <c r="F32" s="8">
        <v>1</v>
      </c>
      <c r="G32" s="10"/>
      <c r="H32" s="4" t="s">
        <v>132</v>
      </c>
      <c r="I32" s="4" t="s">
        <v>49</v>
      </c>
      <c r="J32" s="4">
        <v>12</v>
      </c>
      <c r="K32" s="23">
        <v>70</v>
      </c>
      <c r="L32">
        <f>IF(Invoices[[#This Row],[Document Type]]="Return",Invoices[[#This Row],[Unit Price]]*-1,Invoices[[#This Row],[Unit Price]])</f>
        <v>70</v>
      </c>
      <c r="M32" t="str">
        <f>IF(Invoices[[#This Row],[New Unit Price]]&lt;0,"Return",
IF(Invoices[[#This Row],[New Unit Price]]=0,"Free",IF(Invoices[[#This Row],[New Unit Price]]&lt;100,"Basic","Premium")))</f>
        <v>Basic</v>
      </c>
      <c r="N32">
        <f>VLOOKUP(Invoices[[#This Row],[Part  '#]],Products[],4,0)</f>
        <v>13.92</v>
      </c>
      <c r="O32" t="str">
        <f>VLOOKUP(Invoices[[#This Row],[Customer Account]],Customers[],4,0)</f>
        <v>Automotive</v>
      </c>
      <c r="P32" t="str">
        <f>VLOOKUP(Invoices[[#This Row],[Customer Account]],Customers[],3,0)</f>
        <v>Georgia</v>
      </c>
      <c r="Q32" t="str">
        <f>VLOOKUP(Invoices[[#This Row],[Part  '#]],Products[],3,0)</f>
        <v>Consumables</v>
      </c>
      <c r="R32" s="25">
        <f>Invoices[[#This Row],[Quantity]]*Invoices[[#This Row],[Unit Cost]]</f>
        <v>167.04</v>
      </c>
      <c r="S32" s="25">
        <f>Invoices[[#This Row],[Quantity]]*Invoices[[#This Row],[New Unit Price]]</f>
        <v>840</v>
      </c>
      <c r="T32" s="25">
        <f>Invoices[[#This Row],[Revenue]]-Invoices[[#This Row],[Cost]]</f>
        <v>672.96</v>
      </c>
      <c r="U32" s="25" t="str">
        <f>TEXT(Invoices[[#This Row],[Date]],"MMM")</f>
        <v>Feb</v>
      </c>
      <c r="V32" s="29">
        <f>CHOOSE(MONTH(Invoices[[#This Row],[Date]]),1,1,1,2,2,2,3,3,3,4,4,4)</f>
        <v>1</v>
      </c>
      <c r="W32" s="30">
        <f>IFERROR(Invoices[[#This Row],[Profit]]/Invoices[[#This Row],[Revenue]],0)</f>
        <v>0.80114285714285716</v>
      </c>
    </row>
    <row r="33" spans="1:23" x14ac:dyDescent="0.3">
      <c r="A33" s="19" t="s">
        <v>5</v>
      </c>
      <c r="B33" s="4">
        <v>22812</v>
      </c>
      <c r="C33" s="15">
        <v>41306</v>
      </c>
      <c r="D33" s="9">
        <v>117</v>
      </c>
      <c r="E33" s="10" t="s">
        <v>85</v>
      </c>
      <c r="F33" s="8">
        <v>2</v>
      </c>
      <c r="G33" s="10"/>
      <c r="H33" s="4" t="s">
        <v>125</v>
      </c>
      <c r="I33" s="4" t="s">
        <v>40</v>
      </c>
      <c r="J33" s="4">
        <v>12</v>
      </c>
      <c r="K33" s="23">
        <v>30</v>
      </c>
      <c r="L33">
        <f>IF(Invoices[[#This Row],[Document Type]]="Return",Invoices[[#This Row],[Unit Price]]*-1,Invoices[[#This Row],[Unit Price]])</f>
        <v>30</v>
      </c>
      <c r="M33" t="str">
        <f>IF(Invoices[[#This Row],[New Unit Price]]&lt;0,"Return",
IF(Invoices[[#This Row],[New Unit Price]]=0,"Free",IF(Invoices[[#This Row],[New Unit Price]]&lt;100,"Basic","Premium")))</f>
        <v>Basic</v>
      </c>
      <c r="N33">
        <f>VLOOKUP(Invoices[[#This Row],[Part  '#]],Products[],4,0)</f>
        <v>6.9</v>
      </c>
      <c r="O33" t="str">
        <f>VLOOKUP(Invoices[[#This Row],[Customer Account]],Customers[],4,0)</f>
        <v>Automotive</v>
      </c>
      <c r="P33" t="str">
        <f>VLOOKUP(Invoices[[#This Row],[Customer Account]],Customers[],3,0)</f>
        <v>Georgia</v>
      </c>
      <c r="Q33" t="str">
        <f>VLOOKUP(Invoices[[#This Row],[Part  '#]],Products[],3,0)</f>
        <v>Consumables</v>
      </c>
      <c r="R33" s="25">
        <f>Invoices[[#This Row],[Quantity]]*Invoices[[#This Row],[Unit Cost]]</f>
        <v>82.800000000000011</v>
      </c>
      <c r="S33" s="25">
        <f>Invoices[[#This Row],[Quantity]]*Invoices[[#This Row],[New Unit Price]]</f>
        <v>360</v>
      </c>
      <c r="T33" s="25">
        <f>Invoices[[#This Row],[Revenue]]-Invoices[[#This Row],[Cost]]</f>
        <v>277.2</v>
      </c>
      <c r="U33" s="25" t="str">
        <f>TEXT(Invoices[[#This Row],[Date]],"MMM")</f>
        <v>Feb</v>
      </c>
      <c r="V33" s="29">
        <f>CHOOSE(MONTH(Invoices[[#This Row],[Date]]),1,1,1,2,2,2,3,3,3,4,4,4)</f>
        <v>1</v>
      </c>
      <c r="W33" s="30">
        <f>IFERROR(Invoices[[#This Row],[Profit]]/Invoices[[#This Row],[Revenue]],0)</f>
        <v>0.77</v>
      </c>
    </row>
    <row r="34" spans="1:23" x14ac:dyDescent="0.3">
      <c r="A34" s="19" t="s">
        <v>5</v>
      </c>
      <c r="B34" s="4">
        <v>22813</v>
      </c>
      <c r="C34" s="15">
        <v>41309</v>
      </c>
      <c r="D34" s="9">
        <v>102</v>
      </c>
      <c r="E34" s="10" t="s">
        <v>63</v>
      </c>
      <c r="F34" s="8">
        <v>1</v>
      </c>
      <c r="G34" s="10"/>
      <c r="H34" s="4" t="s">
        <v>93</v>
      </c>
      <c r="I34" s="4" t="s">
        <v>37</v>
      </c>
      <c r="J34" s="4">
        <v>5</v>
      </c>
      <c r="K34" s="23">
        <v>1800</v>
      </c>
      <c r="L34">
        <f>IF(Invoices[[#This Row],[Document Type]]="Return",Invoices[[#This Row],[Unit Price]]*-1,Invoices[[#This Row],[Unit Price]])</f>
        <v>1800</v>
      </c>
      <c r="M34" t="str">
        <f>IF(Invoices[[#This Row],[New Unit Price]]&lt;0,"Return",
IF(Invoices[[#This Row],[New Unit Price]]=0,"Free",IF(Invoices[[#This Row],[New Unit Price]]&lt;100,"Basic","Premium")))</f>
        <v>Premium</v>
      </c>
      <c r="N34">
        <f>VLOOKUP(Invoices[[#This Row],[Part  '#]],Products[],4,0)</f>
        <v>1050.3800000000001</v>
      </c>
      <c r="O34" t="str">
        <f>VLOOKUP(Invoices[[#This Row],[Customer Account]],Customers[],4,0)</f>
        <v>Automotive</v>
      </c>
      <c r="P34" t="str">
        <f>VLOOKUP(Invoices[[#This Row],[Customer Account]],Customers[],3,0)</f>
        <v>Georgia</v>
      </c>
      <c r="Q34" t="str">
        <f>VLOOKUP(Invoices[[#This Row],[Part  '#]],Products[],3,0)</f>
        <v>Product</v>
      </c>
      <c r="R34" s="25">
        <f>Invoices[[#This Row],[Quantity]]*Invoices[[#This Row],[Unit Cost]]</f>
        <v>5251.9000000000005</v>
      </c>
      <c r="S34" s="25">
        <f>Invoices[[#This Row],[Quantity]]*Invoices[[#This Row],[New Unit Price]]</f>
        <v>9000</v>
      </c>
      <c r="T34" s="25">
        <f>Invoices[[#This Row],[Revenue]]-Invoices[[#This Row],[Cost]]</f>
        <v>3748.0999999999995</v>
      </c>
      <c r="U34" s="25" t="str">
        <f>TEXT(Invoices[[#This Row],[Date]],"MMM")</f>
        <v>Feb</v>
      </c>
      <c r="V34" s="29">
        <f>CHOOSE(MONTH(Invoices[[#This Row],[Date]]),1,1,1,2,2,2,3,3,3,4,4,4)</f>
        <v>1</v>
      </c>
      <c r="W34" s="30">
        <f>IFERROR(Invoices[[#This Row],[Profit]]/Invoices[[#This Row],[Revenue]],0)</f>
        <v>0.41645555555555547</v>
      </c>
    </row>
    <row r="35" spans="1:23" x14ac:dyDescent="0.3">
      <c r="A35" s="19" t="s">
        <v>5</v>
      </c>
      <c r="B35" s="4">
        <v>22813</v>
      </c>
      <c r="C35" s="15">
        <v>41309</v>
      </c>
      <c r="D35" s="9">
        <v>102</v>
      </c>
      <c r="E35" s="10" t="s">
        <v>63</v>
      </c>
      <c r="F35" s="8">
        <v>2</v>
      </c>
      <c r="G35" s="10"/>
      <c r="H35" s="4" t="s">
        <v>110</v>
      </c>
      <c r="I35" s="4" t="s">
        <v>25</v>
      </c>
      <c r="J35" s="4">
        <v>5</v>
      </c>
      <c r="K35" s="23">
        <v>35</v>
      </c>
      <c r="L35">
        <f>IF(Invoices[[#This Row],[Document Type]]="Return",Invoices[[#This Row],[Unit Price]]*-1,Invoices[[#This Row],[Unit Price]])</f>
        <v>35</v>
      </c>
      <c r="M35" t="str">
        <f>IF(Invoices[[#This Row],[New Unit Price]]&lt;0,"Return",
IF(Invoices[[#This Row],[New Unit Price]]=0,"Free",IF(Invoices[[#This Row],[New Unit Price]]&lt;100,"Basic","Premium")))</f>
        <v>Basic</v>
      </c>
      <c r="N35">
        <f>VLOOKUP(Invoices[[#This Row],[Part  '#]],Products[],4,0)</f>
        <v>13.79</v>
      </c>
      <c r="O35" t="str">
        <f>VLOOKUP(Invoices[[#This Row],[Customer Account]],Customers[],4,0)</f>
        <v>Automotive</v>
      </c>
      <c r="P35" t="str">
        <f>VLOOKUP(Invoices[[#This Row],[Customer Account]],Customers[],3,0)</f>
        <v>Georgia</v>
      </c>
      <c r="Q35" t="str">
        <f>VLOOKUP(Invoices[[#This Row],[Part  '#]],Products[],3,0)</f>
        <v>Accessories</v>
      </c>
      <c r="R35" s="25">
        <f>Invoices[[#This Row],[Quantity]]*Invoices[[#This Row],[Unit Cost]]</f>
        <v>68.949999999999989</v>
      </c>
      <c r="S35" s="25">
        <f>Invoices[[#This Row],[Quantity]]*Invoices[[#This Row],[New Unit Price]]</f>
        <v>175</v>
      </c>
      <c r="T35" s="25">
        <f>Invoices[[#This Row],[Revenue]]-Invoices[[#This Row],[Cost]]</f>
        <v>106.05000000000001</v>
      </c>
      <c r="U35" s="25" t="str">
        <f>TEXT(Invoices[[#This Row],[Date]],"MMM")</f>
        <v>Feb</v>
      </c>
      <c r="V35" s="29">
        <f>CHOOSE(MONTH(Invoices[[#This Row],[Date]]),1,1,1,2,2,2,3,3,3,4,4,4)</f>
        <v>1</v>
      </c>
      <c r="W35" s="30">
        <f>IFERROR(Invoices[[#This Row],[Profit]]/Invoices[[#This Row],[Revenue]],0)</f>
        <v>0.60600000000000009</v>
      </c>
    </row>
    <row r="36" spans="1:23" x14ac:dyDescent="0.3">
      <c r="A36" s="19" t="s">
        <v>5</v>
      </c>
      <c r="B36" s="4">
        <v>22813</v>
      </c>
      <c r="C36" s="15">
        <v>41309</v>
      </c>
      <c r="D36" s="9">
        <v>102</v>
      </c>
      <c r="E36" s="10" t="s">
        <v>63</v>
      </c>
      <c r="F36" s="8">
        <v>3</v>
      </c>
      <c r="G36" s="10"/>
      <c r="H36" s="4" t="s">
        <v>117</v>
      </c>
      <c r="I36" s="4" t="s">
        <v>33</v>
      </c>
      <c r="J36" s="4">
        <v>5</v>
      </c>
      <c r="K36" s="23">
        <v>30</v>
      </c>
      <c r="L36">
        <f>IF(Invoices[[#This Row],[Document Type]]="Return",Invoices[[#This Row],[Unit Price]]*-1,Invoices[[#This Row],[Unit Price]])</f>
        <v>30</v>
      </c>
      <c r="M36" t="str">
        <f>IF(Invoices[[#This Row],[New Unit Price]]&lt;0,"Return",
IF(Invoices[[#This Row],[New Unit Price]]=0,"Free",IF(Invoices[[#This Row],[New Unit Price]]&lt;100,"Basic","Premium")))</f>
        <v>Basic</v>
      </c>
      <c r="N36">
        <f>VLOOKUP(Invoices[[#This Row],[Part  '#]],Products[],4,0)</f>
        <v>11.59</v>
      </c>
      <c r="O36" t="str">
        <f>VLOOKUP(Invoices[[#This Row],[Customer Account]],Customers[],4,0)</f>
        <v>Automotive</v>
      </c>
      <c r="P36" t="str">
        <f>VLOOKUP(Invoices[[#This Row],[Customer Account]],Customers[],3,0)</f>
        <v>Georgia</v>
      </c>
      <c r="Q36" t="str">
        <f>VLOOKUP(Invoices[[#This Row],[Part  '#]],Products[],3,0)</f>
        <v>Accessories</v>
      </c>
      <c r="R36" s="25">
        <f>Invoices[[#This Row],[Quantity]]*Invoices[[#This Row],[Unit Cost]]</f>
        <v>57.95</v>
      </c>
      <c r="S36" s="25">
        <f>Invoices[[#This Row],[Quantity]]*Invoices[[#This Row],[New Unit Price]]</f>
        <v>150</v>
      </c>
      <c r="T36" s="25">
        <f>Invoices[[#This Row],[Revenue]]-Invoices[[#This Row],[Cost]]</f>
        <v>92.05</v>
      </c>
      <c r="U36" s="25" t="str">
        <f>TEXT(Invoices[[#This Row],[Date]],"MMM")</f>
        <v>Feb</v>
      </c>
      <c r="V36" s="29">
        <f>CHOOSE(MONTH(Invoices[[#This Row],[Date]]),1,1,1,2,2,2,3,3,3,4,4,4)</f>
        <v>1</v>
      </c>
      <c r="W36" s="30">
        <f>IFERROR(Invoices[[#This Row],[Profit]]/Invoices[[#This Row],[Revenue]],0)</f>
        <v>0.61366666666666669</v>
      </c>
    </row>
    <row r="37" spans="1:23" x14ac:dyDescent="0.3">
      <c r="A37" s="19" t="s">
        <v>5</v>
      </c>
      <c r="B37" s="4">
        <v>22813</v>
      </c>
      <c r="C37" s="15">
        <v>41309</v>
      </c>
      <c r="D37" s="9">
        <v>102</v>
      </c>
      <c r="E37" s="10" t="s">
        <v>63</v>
      </c>
      <c r="F37" s="8">
        <v>4</v>
      </c>
      <c r="G37" s="10"/>
      <c r="H37" s="4" t="s">
        <v>119</v>
      </c>
      <c r="I37" s="4" t="s">
        <v>43</v>
      </c>
      <c r="J37" s="4">
        <v>5</v>
      </c>
      <c r="K37" s="23">
        <v>60</v>
      </c>
      <c r="L37">
        <f>IF(Invoices[[#This Row],[Document Type]]="Return",Invoices[[#This Row],[Unit Price]]*-1,Invoices[[#This Row],[Unit Price]])</f>
        <v>60</v>
      </c>
      <c r="M37" t="str">
        <f>IF(Invoices[[#This Row],[New Unit Price]]&lt;0,"Return",
IF(Invoices[[#This Row],[New Unit Price]]=0,"Free",IF(Invoices[[#This Row],[New Unit Price]]&lt;100,"Basic","Premium")))</f>
        <v>Basic</v>
      </c>
      <c r="N37">
        <f>VLOOKUP(Invoices[[#This Row],[Part  '#]],Products[],4,0)</f>
        <v>17.22</v>
      </c>
      <c r="O37" t="str">
        <f>VLOOKUP(Invoices[[#This Row],[Customer Account]],Customers[],4,0)</f>
        <v>Automotive</v>
      </c>
      <c r="P37" t="str">
        <f>VLOOKUP(Invoices[[#This Row],[Customer Account]],Customers[],3,0)</f>
        <v>Georgia</v>
      </c>
      <c r="Q37" t="str">
        <f>VLOOKUP(Invoices[[#This Row],[Part  '#]],Products[],3,0)</f>
        <v>Accessories</v>
      </c>
      <c r="R37" s="25">
        <f>Invoices[[#This Row],[Quantity]]*Invoices[[#This Row],[Unit Cost]]</f>
        <v>86.1</v>
      </c>
      <c r="S37" s="25">
        <f>Invoices[[#This Row],[Quantity]]*Invoices[[#This Row],[New Unit Price]]</f>
        <v>300</v>
      </c>
      <c r="T37" s="25">
        <f>Invoices[[#This Row],[Revenue]]-Invoices[[#This Row],[Cost]]</f>
        <v>213.9</v>
      </c>
      <c r="U37" s="25" t="str">
        <f>TEXT(Invoices[[#This Row],[Date]],"MMM")</f>
        <v>Feb</v>
      </c>
      <c r="V37" s="29">
        <f>CHOOSE(MONTH(Invoices[[#This Row],[Date]]),1,1,1,2,2,2,3,3,3,4,4,4)</f>
        <v>1</v>
      </c>
      <c r="W37" s="30">
        <f>IFERROR(Invoices[[#This Row],[Profit]]/Invoices[[#This Row],[Revenue]],0)</f>
        <v>0.71299999999999997</v>
      </c>
    </row>
    <row r="38" spans="1:23" x14ac:dyDescent="0.3">
      <c r="A38" s="19" t="s">
        <v>5</v>
      </c>
      <c r="B38" s="4">
        <v>22813</v>
      </c>
      <c r="C38" s="15">
        <v>41309</v>
      </c>
      <c r="D38" s="9">
        <v>102</v>
      </c>
      <c r="E38" s="10" t="s">
        <v>63</v>
      </c>
      <c r="F38" s="8">
        <v>5</v>
      </c>
      <c r="G38" s="10"/>
      <c r="H38" s="4" t="s">
        <v>124</v>
      </c>
      <c r="I38" s="4" t="s">
        <v>39</v>
      </c>
      <c r="J38" s="4">
        <v>20</v>
      </c>
      <c r="K38" s="23">
        <v>35</v>
      </c>
      <c r="L38">
        <f>IF(Invoices[[#This Row],[Document Type]]="Return",Invoices[[#This Row],[Unit Price]]*-1,Invoices[[#This Row],[Unit Price]])</f>
        <v>35</v>
      </c>
      <c r="M38" t="str">
        <f>IF(Invoices[[#This Row],[New Unit Price]]&lt;0,"Return",
IF(Invoices[[#This Row],[New Unit Price]]=0,"Free",IF(Invoices[[#This Row],[New Unit Price]]&lt;100,"Basic","Premium")))</f>
        <v>Basic</v>
      </c>
      <c r="N38">
        <f>VLOOKUP(Invoices[[#This Row],[Part  '#]],Products[],4,0)</f>
        <v>6.37</v>
      </c>
      <c r="O38" t="str">
        <f>VLOOKUP(Invoices[[#This Row],[Customer Account]],Customers[],4,0)</f>
        <v>Automotive</v>
      </c>
      <c r="P38" t="str">
        <f>VLOOKUP(Invoices[[#This Row],[Customer Account]],Customers[],3,0)</f>
        <v>Georgia</v>
      </c>
      <c r="Q38" t="str">
        <f>VLOOKUP(Invoices[[#This Row],[Part  '#]],Products[],3,0)</f>
        <v>Consumables</v>
      </c>
      <c r="R38" s="25">
        <f>Invoices[[#This Row],[Quantity]]*Invoices[[#This Row],[Unit Cost]]</f>
        <v>127.4</v>
      </c>
      <c r="S38" s="25">
        <f>Invoices[[#This Row],[Quantity]]*Invoices[[#This Row],[New Unit Price]]</f>
        <v>700</v>
      </c>
      <c r="T38" s="25">
        <f>Invoices[[#This Row],[Revenue]]-Invoices[[#This Row],[Cost]]</f>
        <v>572.6</v>
      </c>
      <c r="U38" s="25" t="str">
        <f>TEXT(Invoices[[#This Row],[Date]],"MMM")</f>
        <v>Feb</v>
      </c>
      <c r="V38" s="29">
        <f>CHOOSE(MONTH(Invoices[[#This Row],[Date]]),1,1,1,2,2,2,3,3,3,4,4,4)</f>
        <v>1</v>
      </c>
      <c r="W38" s="30">
        <f>IFERROR(Invoices[[#This Row],[Profit]]/Invoices[[#This Row],[Revenue]],0)</f>
        <v>0.81800000000000006</v>
      </c>
    </row>
    <row r="39" spans="1:23" x14ac:dyDescent="0.3">
      <c r="A39" s="19" t="s">
        <v>5</v>
      </c>
      <c r="B39" s="4">
        <v>22816</v>
      </c>
      <c r="C39" s="15">
        <v>41310</v>
      </c>
      <c r="D39" s="9">
        <v>101</v>
      </c>
      <c r="E39" s="10" t="s">
        <v>61</v>
      </c>
      <c r="F39" s="8">
        <v>1</v>
      </c>
      <c r="G39" s="10"/>
      <c r="H39" s="4" t="s">
        <v>90</v>
      </c>
      <c r="I39" s="4" t="s">
        <v>88</v>
      </c>
      <c r="J39" s="4">
        <v>10</v>
      </c>
      <c r="K39" s="23">
        <v>500</v>
      </c>
      <c r="L39">
        <f>IF(Invoices[[#This Row],[Document Type]]="Return",Invoices[[#This Row],[Unit Price]]*-1,Invoices[[#This Row],[Unit Price]])</f>
        <v>500</v>
      </c>
      <c r="M39" t="str">
        <f>IF(Invoices[[#This Row],[New Unit Price]]&lt;0,"Return",
IF(Invoices[[#This Row],[New Unit Price]]=0,"Free",IF(Invoices[[#This Row],[New Unit Price]]&lt;100,"Basic","Premium")))</f>
        <v>Premium</v>
      </c>
      <c r="N39">
        <f>VLOOKUP(Invoices[[#This Row],[Part  '#]],Products[],4,0)</f>
        <v>295.10000000000002</v>
      </c>
      <c r="O39" t="str">
        <f>VLOOKUP(Invoices[[#This Row],[Customer Account]],Customers[],4,0)</f>
        <v>Automotive</v>
      </c>
      <c r="P39" t="str">
        <f>VLOOKUP(Invoices[[#This Row],[Customer Account]],Customers[],3,0)</f>
        <v>Georgia</v>
      </c>
      <c r="Q39" t="str">
        <f>VLOOKUP(Invoices[[#This Row],[Part  '#]],Products[],3,0)</f>
        <v>Product</v>
      </c>
      <c r="R39" s="25">
        <f>Invoices[[#This Row],[Quantity]]*Invoices[[#This Row],[Unit Cost]]</f>
        <v>2951</v>
      </c>
      <c r="S39" s="25">
        <f>Invoices[[#This Row],[Quantity]]*Invoices[[#This Row],[New Unit Price]]</f>
        <v>5000</v>
      </c>
      <c r="T39" s="25">
        <f>Invoices[[#This Row],[Revenue]]-Invoices[[#This Row],[Cost]]</f>
        <v>2049</v>
      </c>
      <c r="U39" s="25" t="str">
        <f>TEXT(Invoices[[#This Row],[Date]],"MMM")</f>
        <v>Feb</v>
      </c>
      <c r="V39" s="29">
        <f>CHOOSE(MONTH(Invoices[[#This Row],[Date]]),1,1,1,2,2,2,3,3,3,4,4,4)</f>
        <v>1</v>
      </c>
      <c r="W39" s="30">
        <f>IFERROR(Invoices[[#This Row],[Profit]]/Invoices[[#This Row],[Revenue]],0)</f>
        <v>0.4098</v>
      </c>
    </row>
    <row r="40" spans="1:23" x14ac:dyDescent="0.3">
      <c r="A40" s="19" t="s">
        <v>5</v>
      </c>
      <c r="B40" s="4">
        <v>22816</v>
      </c>
      <c r="C40" s="15">
        <v>41310</v>
      </c>
      <c r="D40" s="9">
        <v>101</v>
      </c>
      <c r="E40" s="10" t="s">
        <v>61</v>
      </c>
      <c r="F40" s="8">
        <v>2</v>
      </c>
      <c r="G40" s="10"/>
      <c r="H40" s="4" t="s">
        <v>109</v>
      </c>
      <c r="I40" s="4" t="s">
        <v>24</v>
      </c>
      <c r="J40" s="4">
        <v>10</v>
      </c>
      <c r="K40" s="23">
        <v>25</v>
      </c>
      <c r="L40">
        <f>IF(Invoices[[#This Row],[Document Type]]="Return",Invoices[[#This Row],[Unit Price]]*-1,Invoices[[#This Row],[Unit Price]])</f>
        <v>25</v>
      </c>
      <c r="M40" t="str">
        <f>IF(Invoices[[#This Row],[New Unit Price]]&lt;0,"Return",
IF(Invoices[[#This Row],[New Unit Price]]=0,"Free",IF(Invoices[[#This Row],[New Unit Price]]&lt;100,"Basic","Premium")))</f>
        <v>Basic</v>
      </c>
      <c r="N40">
        <f>VLOOKUP(Invoices[[#This Row],[Part  '#]],Products[],4,0)</f>
        <v>12.17</v>
      </c>
      <c r="O40" t="str">
        <f>VLOOKUP(Invoices[[#This Row],[Customer Account]],Customers[],4,0)</f>
        <v>Automotive</v>
      </c>
      <c r="P40" t="str">
        <f>VLOOKUP(Invoices[[#This Row],[Customer Account]],Customers[],3,0)</f>
        <v>Georgia</v>
      </c>
      <c r="Q40" t="str">
        <f>VLOOKUP(Invoices[[#This Row],[Part  '#]],Products[],3,0)</f>
        <v>Accessories</v>
      </c>
      <c r="R40" s="25">
        <f>Invoices[[#This Row],[Quantity]]*Invoices[[#This Row],[Unit Cost]]</f>
        <v>121.7</v>
      </c>
      <c r="S40" s="25">
        <f>Invoices[[#This Row],[Quantity]]*Invoices[[#This Row],[New Unit Price]]</f>
        <v>250</v>
      </c>
      <c r="T40" s="25">
        <f>Invoices[[#This Row],[Revenue]]-Invoices[[#This Row],[Cost]]</f>
        <v>128.30000000000001</v>
      </c>
      <c r="U40" s="25" t="str">
        <f>TEXT(Invoices[[#This Row],[Date]],"MMM")</f>
        <v>Feb</v>
      </c>
      <c r="V40" s="29">
        <f>CHOOSE(MONTH(Invoices[[#This Row],[Date]]),1,1,1,2,2,2,3,3,3,4,4,4)</f>
        <v>1</v>
      </c>
      <c r="W40" s="30">
        <f>IFERROR(Invoices[[#This Row],[Profit]]/Invoices[[#This Row],[Revenue]],0)</f>
        <v>0.5132000000000001</v>
      </c>
    </row>
    <row r="41" spans="1:23" x14ac:dyDescent="0.3">
      <c r="A41" s="19" t="s">
        <v>5</v>
      </c>
      <c r="B41" s="4">
        <v>22816</v>
      </c>
      <c r="C41" s="15">
        <v>41310</v>
      </c>
      <c r="D41" s="9">
        <v>101</v>
      </c>
      <c r="E41" s="10" t="s">
        <v>61</v>
      </c>
      <c r="F41" s="8">
        <v>3</v>
      </c>
      <c r="G41" s="10"/>
      <c r="H41" s="4" t="s">
        <v>116</v>
      </c>
      <c r="I41" s="4" t="s">
        <v>32</v>
      </c>
      <c r="J41" s="4">
        <v>10</v>
      </c>
      <c r="K41" s="23">
        <v>20</v>
      </c>
      <c r="L41">
        <f>IF(Invoices[[#This Row],[Document Type]]="Return",Invoices[[#This Row],[Unit Price]]*-1,Invoices[[#This Row],[Unit Price]])</f>
        <v>20</v>
      </c>
      <c r="M41" t="str">
        <f>IF(Invoices[[#This Row],[New Unit Price]]&lt;0,"Return",
IF(Invoices[[#This Row],[New Unit Price]]=0,"Free",IF(Invoices[[#This Row],[New Unit Price]]&lt;100,"Basic","Premium")))</f>
        <v>Basic</v>
      </c>
      <c r="N41">
        <f>VLOOKUP(Invoices[[#This Row],[Part  '#]],Products[],4,0)</f>
        <v>8.15</v>
      </c>
      <c r="O41" t="str">
        <f>VLOOKUP(Invoices[[#This Row],[Customer Account]],Customers[],4,0)</f>
        <v>Automotive</v>
      </c>
      <c r="P41" t="str">
        <f>VLOOKUP(Invoices[[#This Row],[Customer Account]],Customers[],3,0)</f>
        <v>Georgia</v>
      </c>
      <c r="Q41" t="str">
        <f>VLOOKUP(Invoices[[#This Row],[Part  '#]],Products[],3,0)</f>
        <v>Accessories</v>
      </c>
      <c r="R41" s="25">
        <f>Invoices[[#This Row],[Quantity]]*Invoices[[#This Row],[Unit Cost]]</f>
        <v>81.5</v>
      </c>
      <c r="S41" s="25">
        <f>Invoices[[#This Row],[Quantity]]*Invoices[[#This Row],[New Unit Price]]</f>
        <v>200</v>
      </c>
      <c r="T41" s="25">
        <f>Invoices[[#This Row],[Revenue]]-Invoices[[#This Row],[Cost]]</f>
        <v>118.5</v>
      </c>
      <c r="U41" s="25" t="str">
        <f>TEXT(Invoices[[#This Row],[Date]],"MMM")</f>
        <v>Feb</v>
      </c>
      <c r="V41" s="29">
        <f>CHOOSE(MONTH(Invoices[[#This Row],[Date]]),1,1,1,2,2,2,3,3,3,4,4,4)</f>
        <v>1</v>
      </c>
      <c r="W41" s="30">
        <f>IFERROR(Invoices[[#This Row],[Profit]]/Invoices[[#This Row],[Revenue]],0)</f>
        <v>0.59250000000000003</v>
      </c>
    </row>
    <row r="42" spans="1:23" x14ac:dyDescent="0.3">
      <c r="A42" s="19" t="s">
        <v>5</v>
      </c>
      <c r="B42" s="4">
        <v>22816</v>
      </c>
      <c r="C42" s="15">
        <v>41310</v>
      </c>
      <c r="D42" s="9">
        <v>101</v>
      </c>
      <c r="E42" s="10" t="s">
        <v>61</v>
      </c>
      <c r="F42" s="8">
        <v>4</v>
      </c>
      <c r="G42" s="10"/>
      <c r="H42" s="4" t="s">
        <v>118</v>
      </c>
      <c r="I42" s="4" t="s">
        <v>42</v>
      </c>
      <c r="J42" s="4">
        <v>10</v>
      </c>
      <c r="K42" s="23">
        <v>40</v>
      </c>
      <c r="L42">
        <f>IF(Invoices[[#This Row],[Document Type]]="Return",Invoices[[#This Row],[Unit Price]]*-1,Invoices[[#This Row],[Unit Price]])</f>
        <v>40</v>
      </c>
      <c r="M42" t="str">
        <f>IF(Invoices[[#This Row],[New Unit Price]]&lt;0,"Return",
IF(Invoices[[#This Row],[New Unit Price]]=0,"Free",IF(Invoices[[#This Row],[New Unit Price]]&lt;100,"Basic","Premium")))</f>
        <v>Basic</v>
      </c>
      <c r="N42">
        <f>VLOOKUP(Invoices[[#This Row],[Part  '#]],Products[],4,0)</f>
        <v>12.33</v>
      </c>
      <c r="O42" t="str">
        <f>VLOOKUP(Invoices[[#This Row],[Customer Account]],Customers[],4,0)</f>
        <v>Automotive</v>
      </c>
      <c r="P42" t="str">
        <f>VLOOKUP(Invoices[[#This Row],[Customer Account]],Customers[],3,0)</f>
        <v>Georgia</v>
      </c>
      <c r="Q42" t="str">
        <f>VLOOKUP(Invoices[[#This Row],[Part  '#]],Products[],3,0)</f>
        <v>Accessories</v>
      </c>
      <c r="R42" s="25">
        <f>Invoices[[#This Row],[Quantity]]*Invoices[[#This Row],[Unit Cost]]</f>
        <v>123.3</v>
      </c>
      <c r="S42" s="25">
        <f>Invoices[[#This Row],[Quantity]]*Invoices[[#This Row],[New Unit Price]]</f>
        <v>400</v>
      </c>
      <c r="T42" s="25">
        <f>Invoices[[#This Row],[Revenue]]-Invoices[[#This Row],[Cost]]</f>
        <v>276.7</v>
      </c>
      <c r="U42" s="25" t="str">
        <f>TEXT(Invoices[[#This Row],[Date]],"MMM")</f>
        <v>Feb</v>
      </c>
      <c r="V42" s="29">
        <f>CHOOSE(MONTH(Invoices[[#This Row],[Date]]),1,1,1,2,2,2,3,3,3,4,4,4)</f>
        <v>1</v>
      </c>
      <c r="W42" s="30">
        <f>IFERROR(Invoices[[#This Row],[Profit]]/Invoices[[#This Row],[Revenue]],0)</f>
        <v>0.69174999999999998</v>
      </c>
    </row>
    <row r="43" spans="1:23" x14ac:dyDescent="0.3">
      <c r="A43" s="19" t="s">
        <v>5</v>
      </c>
      <c r="B43" s="4">
        <v>22816</v>
      </c>
      <c r="C43" s="15">
        <v>41310</v>
      </c>
      <c r="D43" s="9">
        <v>101</v>
      </c>
      <c r="E43" s="10" t="s">
        <v>61</v>
      </c>
      <c r="F43" s="8">
        <v>5</v>
      </c>
      <c r="G43" s="10"/>
      <c r="H43" s="4" t="s">
        <v>123</v>
      </c>
      <c r="I43" s="4" t="s">
        <v>38</v>
      </c>
      <c r="J43" s="4">
        <v>100</v>
      </c>
      <c r="K43" s="23">
        <v>16</v>
      </c>
      <c r="L43">
        <f>IF(Invoices[[#This Row],[Document Type]]="Return",Invoices[[#This Row],[Unit Price]]*-1,Invoices[[#This Row],[Unit Price]])</f>
        <v>16</v>
      </c>
      <c r="M43" t="str">
        <f>IF(Invoices[[#This Row],[New Unit Price]]&lt;0,"Return",
IF(Invoices[[#This Row],[New Unit Price]]=0,"Free",IF(Invoices[[#This Row],[New Unit Price]]&lt;100,"Basic","Premium")))</f>
        <v>Basic</v>
      </c>
      <c r="N43">
        <f>VLOOKUP(Invoices[[#This Row],[Part  '#]],Products[],4,0)</f>
        <v>4.58</v>
      </c>
      <c r="O43" t="str">
        <f>VLOOKUP(Invoices[[#This Row],[Customer Account]],Customers[],4,0)</f>
        <v>Automotive</v>
      </c>
      <c r="P43" t="str">
        <f>VLOOKUP(Invoices[[#This Row],[Customer Account]],Customers[],3,0)</f>
        <v>Georgia</v>
      </c>
      <c r="Q43" t="str">
        <f>VLOOKUP(Invoices[[#This Row],[Part  '#]],Products[],3,0)</f>
        <v>Consumables</v>
      </c>
      <c r="R43" s="25">
        <f>Invoices[[#This Row],[Quantity]]*Invoices[[#This Row],[Unit Cost]]</f>
        <v>458</v>
      </c>
      <c r="S43" s="25">
        <f>Invoices[[#This Row],[Quantity]]*Invoices[[#This Row],[New Unit Price]]</f>
        <v>1600</v>
      </c>
      <c r="T43" s="25">
        <f>Invoices[[#This Row],[Revenue]]-Invoices[[#This Row],[Cost]]</f>
        <v>1142</v>
      </c>
      <c r="U43" s="25" t="str">
        <f>TEXT(Invoices[[#This Row],[Date]],"MMM")</f>
        <v>Feb</v>
      </c>
      <c r="V43" s="29">
        <f>CHOOSE(MONTH(Invoices[[#This Row],[Date]]),1,1,1,2,2,2,3,3,3,4,4,4)</f>
        <v>1</v>
      </c>
      <c r="W43" s="30">
        <f>IFERROR(Invoices[[#This Row],[Profit]]/Invoices[[#This Row],[Revenue]],0)</f>
        <v>0.71375</v>
      </c>
    </row>
    <row r="44" spans="1:23" x14ac:dyDescent="0.3">
      <c r="A44" s="19" t="s">
        <v>141</v>
      </c>
      <c r="B44" s="4">
        <v>22814</v>
      </c>
      <c r="C44" s="15">
        <v>41312</v>
      </c>
      <c r="D44" s="9">
        <v>102</v>
      </c>
      <c r="E44" s="10" t="s">
        <v>63</v>
      </c>
      <c r="F44" s="8">
        <v>1</v>
      </c>
      <c r="G44" s="10" t="s">
        <v>143</v>
      </c>
      <c r="H44" s="4" t="s">
        <v>93</v>
      </c>
      <c r="I44" s="4" t="s">
        <v>37</v>
      </c>
      <c r="J44" s="4">
        <v>1</v>
      </c>
      <c r="K44" s="23">
        <v>1800</v>
      </c>
      <c r="L44">
        <f>IF(Invoices[[#This Row],[Document Type]]="Return",Invoices[[#This Row],[Unit Price]]*-1,Invoices[[#This Row],[Unit Price]])</f>
        <v>-1800</v>
      </c>
      <c r="M44" t="str">
        <f>IF(Invoices[[#This Row],[New Unit Price]]&lt;0,"Return",
IF(Invoices[[#This Row],[New Unit Price]]=0,"Free",IF(Invoices[[#This Row],[New Unit Price]]&lt;100,"Basic","Premium")))</f>
        <v>Return</v>
      </c>
      <c r="N44">
        <f>VLOOKUP(Invoices[[#This Row],[Part  '#]],Products[],4,0)</f>
        <v>1050.3800000000001</v>
      </c>
      <c r="O44" t="str">
        <f>VLOOKUP(Invoices[[#This Row],[Customer Account]],Customers[],4,0)</f>
        <v>Automotive</v>
      </c>
      <c r="P44" t="str">
        <f>VLOOKUP(Invoices[[#This Row],[Customer Account]],Customers[],3,0)</f>
        <v>Georgia</v>
      </c>
      <c r="Q44" t="str">
        <f>VLOOKUP(Invoices[[#This Row],[Part  '#]],Products[],3,0)</f>
        <v>Product</v>
      </c>
      <c r="R44" s="25">
        <f>Invoices[[#This Row],[Quantity]]*Invoices[[#This Row],[Unit Cost]]</f>
        <v>1050.3800000000001</v>
      </c>
      <c r="S44" s="25">
        <f>Invoices[[#This Row],[Quantity]]*Invoices[[#This Row],[New Unit Price]]</f>
        <v>-1800</v>
      </c>
      <c r="T44" s="25">
        <f>Invoices[[#This Row],[Revenue]]-Invoices[[#This Row],[Cost]]</f>
        <v>-2850.38</v>
      </c>
      <c r="U44" s="25" t="str">
        <f>TEXT(Invoices[[#This Row],[Date]],"MMM")</f>
        <v>Feb</v>
      </c>
      <c r="V44" s="29">
        <f>CHOOSE(MONTH(Invoices[[#This Row],[Date]]),1,1,1,2,2,2,3,3,3,4,4,4)</f>
        <v>1</v>
      </c>
      <c r="W44" s="30">
        <f>IFERROR(Invoices[[#This Row],[Profit]]/Invoices[[#This Row],[Revenue]],0)</f>
        <v>1.5835444444444444</v>
      </c>
    </row>
    <row r="45" spans="1:23" x14ac:dyDescent="0.3">
      <c r="A45" s="19" t="s">
        <v>5</v>
      </c>
      <c r="B45" s="4">
        <v>22817</v>
      </c>
      <c r="C45" s="15">
        <v>41312</v>
      </c>
      <c r="D45" s="9">
        <v>104</v>
      </c>
      <c r="E45" s="10" t="s">
        <v>65</v>
      </c>
      <c r="F45" s="8">
        <v>1</v>
      </c>
      <c r="G45" s="10"/>
      <c r="H45" s="4" t="s">
        <v>90</v>
      </c>
      <c r="I45" s="4" t="s">
        <v>88</v>
      </c>
      <c r="J45" s="4">
        <v>2</v>
      </c>
      <c r="K45" s="23">
        <v>500</v>
      </c>
      <c r="L45">
        <f>IF(Invoices[[#This Row],[Document Type]]="Return",Invoices[[#This Row],[Unit Price]]*-1,Invoices[[#This Row],[Unit Price]])</f>
        <v>500</v>
      </c>
      <c r="M45" t="str">
        <f>IF(Invoices[[#This Row],[New Unit Price]]&lt;0,"Return",
IF(Invoices[[#This Row],[New Unit Price]]=0,"Free",IF(Invoices[[#This Row],[New Unit Price]]&lt;100,"Basic","Premium")))</f>
        <v>Premium</v>
      </c>
      <c r="N45">
        <f>VLOOKUP(Invoices[[#This Row],[Part  '#]],Products[],4,0)</f>
        <v>295.10000000000002</v>
      </c>
      <c r="O45" t="str">
        <f>VLOOKUP(Invoices[[#This Row],[Customer Account]],Customers[],4,0)</f>
        <v>Automotive</v>
      </c>
      <c r="P45" t="str">
        <f>VLOOKUP(Invoices[[#This Row],[Customer Account]],Customers[],3,0)</f>
        <v>North Carolina</v>
      </c>
      <c r="Q45" t="str">
        <f>VLOOKUP(Invoices[[#This Row],[Part  '#]],Products[],3,0)</f>
        <v>Product</v>
      </c>
      <c r="R45" s="25">
        <f>Invoices[[#This Row],[Quantity]]*Invoices[[#This Row],[Unit Cost]]</f>
        <v>590.20000000000005</v>
      </c>
      <c r="S45" s="25">
        <f>Invoices[[#This Row],[Quantity]]*Invoices[[#This Row],[New Unit Price]]</f>
        <v>1000</v>
      </c>
      <c r="T45" s="25">
        <f>Invoices[[#This Row],[Revenue]]-Invoices[[#This Row],[Cost]]</f>
        <v>409.79999999999995</v>
      </c>
      <c r="U45" s="25" t="str">
        <f>TEXT(Invoices[[#This Row],[Date]],"MMM")</f>
        <v>Feb</v>
      </c>
      <c r="V45" s="29">
        <f>CHOOSE(MONTH(Invoices[[#This Row],[Date]]),1,1,1,2,2,2,3,3,3,4,4,4)</f>
        <v>1</v>
      </c>
      <c r="W45" s="30">
        <f>IFERROR(Invoices[[#This Row],[Profit]]/Invoices[[#This Row],[Revenue]],0)</f>
        <v>0.40979999999999994</v>
      </c>
    </row>
    <row r="46" spans="1:23" x14ac:dyDescent="0.3">
      <c r="A46" s="19" t="s">
        <v>5</v>
      </c>
      <c r="B46" s="4">
        <v>22817</v>
      </c>
      <c r="C46" s="15">
        <v>41312</v>
      </c>
      <c r="D46" s="9">
        <v>104</v>
      </c>
      <c r="E46" s="10" t="s">
        <v>65</v>
      </c>
      <c r="F46" s="8">
        <v>2</v>
      </c>
      <c r="G46" s="10"/>
      <c r="H46" s="4" t="s">
        <v>110</v>
      </c>
      <c r="I46" s="4" t="s">
        <v>25</v>
      </c>
      <c r="J46" s="4">
        <v>2</v>
      </c>
      <c r="K46" s="23">
        <v>35</v>
      </c>
      <c r="L46">
        <f>IF(Invoices[[#This Row],[Document Type]]="Return",Invoices[[#This Row],[Unit Price]]*-1,Invoices[[#This Row],[Unit Price]])</f>
        <v>35</v>
      </c>
      <c r="M46" t="str">
        <f>IF(Invoices[[#This Row],[New Unit Price]]&lt;0,"Return",
IF(Invoices[[#This Row],[New Unit Price]]=0,"Free",IF(Invoices[[#This Row],[New Unit Price]]&lt;100,"Basic","Premium")))</f>
        <v>Basic</v>
      </c>
      <c r="N46">
        <f>VLOOKUP(Invoices[[#This Row],[Part  '#]],Products[],4,0)</f>
        <v>13.79</v>
      </c>
      <c r="O46" t="str">
        <f>VLOOKUP(Invoices[[#This Row],[Customer Account]],Customers[],4,0)</f>
        <v>Automotive</v>
      </c>
      <c r="P46" t="str">
        <f>VLOOKUP(Invoices[[#This Row],[Customer Account]],Customers[],3,0)</f>
        <v>North Carolina</v>
      </c>
      <c r="Q46" t="str">
        <f>VLOOKUP(Invoices[[#This Row],[Part  '#]],Products[],3,0)</f>
        <v>Accessories</v>
      </c>
      <c r="R46" s="25">
        <f>Invoices[[#This Row],[Quantity]]*Invoices[[#This Row],[Unit Cost]]</f>
        <v>27.58</v>
      </c>
      <c r="S46" s="25">
        <f>Invoices[[#This Row],[Quantity]]*Invoices[[#This Row],[New Unit Price]]</f>
        <v>70</v>
      </c>
      <c r="T46" s="25">
        <f>Invoices[[#This Row],[Revenue]]-Invoices[[#This Row],[Cost]]</f>
        <v>42.42</v>
      </c>
      <c r="U46" s="25" t="str">
        <f>TEXT(Invoices[[#This Row],[Date]],"MMM")</f>
        <v>Feb</v>
      </c>
      <c r="V46" s="29">
        <f>CHOOSE(MONTH(Invoices[[#This Row],[Date]]),1,1,1,2,2,2,3,3,3,4,4,4)</f>
        <v>1</v>
      </c>
      <c r="W46" s="30">
        <f>IFERROR(Invoices[[#This Row],[Profit]]/Invoices[[#This Row],[Revenue]],0)</f>
        <v>0.60599999999999998</v>
      </c>
    </row>
    <row r="47" spans="1:23" x14ac:dyDescent="0.3">
      <c r="A47" s="19" t="s">
        <v>5</v>
      </c>
      <c r="B47" s="4">
        <v>22817</v>
      </c>
      <c r="C47" s="15">
        <v>41312</v>
      </c>
      <c r="D47" s="9">
        <v>104</v>
      </c>
      <c r="E47" s="10" t="s">
        <v>65</v>
      </c>
      <c r="F47" s="8">
        <v>3</v>
      </c>
      <c r="G47" s="10"/>
      <c r="H47" s="4" t="s">
        <v>117</v>
      </c>
      <c r="I47" s="4" t="s">
        <v>33</v>
      </c>
      <c r="J47" s="4">
        <v>2</v>
      </c>
      <c r="K47" s="23">
        <v>30</v>
      </c>
      <c r="L47">
        <f>IF(Invoices[[#This Row],[Document Type]]="Return",Invoices[[#This Row],[Unit Price]]*-1,Invoices[[#This Row],[Unit Price]])</f>
        <v>30</v>
      </c>
      <c r="M47" t="str">
        <f>IF(Invoices[[#This Row],[New Unit Price]]&lt;0,"Return",
IF(Invoices[[#This Row],[New Unit Price]]=0,"Free",IF(Invoices[[#This Row],[New Unit Price]]&lt;100,"Basic","Premium")))</f>
        <v>Basic</v>
      </c>
      <c r="N47">
        <f>VLOOKUP(Invoices[[#This Row],[Part  '#]],Products[],4,0)</f>
        <v>11.59</v>
      </c>
      <c r="O47" t="str">
        <f>VLOOKUP(Invoices[[#This Row],[Customer Account]],Customers[],4,0)</f>
        <v>Automotive</v>
      </c>
      <c r="P47" t="str">
        <f>VLOOKUP(Invoices[[#This Row],[Customer Account]],Customers[],3,0)</f>
        <v>North Carolina</v>
      </c>
      <c r="Q47" t="str">
        <f>VLOOKUP(Invoices[[#This Row],[Part  '#]],Products[],3,0)</f>
        <v>Accessories</v>
      </c>
      <c r="R47" s="25">
        <f>Invoices[[#This Row],[Quantity]]*Invoices[[#This Row],[Unit Cost]]</f>
        <v>23.18</v>
      </c>
      <c r="S47" s="25">
        <f>Invoices[[#This Row],[Quantity]]*Invoices[[#This Row],[New Unit Price]]</f>
        <v>60</v>
      </c>
      <c r="T47" s="25">
        <f>Invoices[[#This Row],[Revenue]]-Invoices[[#This Row],[Cost]]</f>
        <v>36.82</v>
      </c>
      <c r="U47" s="25" t="str">
        <f>TEXT(Invoices[[#This Row],[Date]],"MMM")</f>
        <v>Feb</v>
      </c>
      <c r="V47" s="29">
        <f>CHOOSE(MONTH(Invoices[[#This Row],[Date]]),1,1,1,2,2,2,3,3,3,4,4,4)</f>
        <v>1</v>
      </c>
      <c r="W47" s="30">
        <f>IFERROR(Invoices[[#This Row],[Profit]]/Invoices[[#This Row],[Revenue]],0)</f>
        <v>0.61366666666666669</v>
      </c>
    </row>
    <row r="48" spans="1:23" x14ac:dyDescent="0.3">
      <c r="A48" s="19" t="s">
        <v>5</v>
      </c>
      <c r="B48" s="4">
        <v>22817</v>
      </c>
      <c r="C48" s="15">
        <v>41312</v>
      </c>
      <c r="D48" s="9">
        <v>104</v>
      </c>
      <c r="E48" s="10" t="s">
        <v>65</v>
      </c>
      <c r="F48" s="8">
        <v>4</v>
      </c>
      <c r="G48" s="10"/>
      <c r="H48" s="4" t="s">
        <v>118</v>
      </c>
      <c r="I48" s="4" t="s">
        <v>42</v>
      </c>
      <c r="J48" s="4">
        <v>2</v>
      </c>
      <c r="K48" s="23">
        <v>40</v>
      </c>
      <c r="L48">
        <f>IF(Invoices[[#This Row],[Document Type]]="Return",Invoices[[#This Row],[Unit Price]]*-1,Invoices[[#This Row],[Unit Price]])</f>
        <v>40</v>
      </c>
      <c r="M48" t="str">
        <f>IF(Invoices[[#This Row],[New Unit Price]]&lt;0,"Return",
IF(Invoices[[#This Row],[New Unit Price]]=0,"Free",IF(Invoices[[#This Row],[New Unit Price]]&lt;100,"Basic","Premium")))</f>
        <v>Basic</v>
      </c>
      <c r="N48">
        <f>VLOOKUP(Invoices[[#This Row],[Part  '#]],Products[],4,0)</f>
        <v>12.33</v>
      </c>
      <c r="O48" t="str">
        <f>VLOOKUP(Invoices[[#This Row],[Customer Account]],Customers[],4,0)</f>
        <v>Automotive</v>
      </c>
      <c r="P48" t="str">
        <f>VLOOKUP(Invoices[[#This Row],[Customer Account]],Customers[],3,0)</f>
        <v>North Carolina</v>
      </c>
      <c r="Q48" t="str">
        <f>VLOOKUP(Invoices[[#This Row],[Part  '#]],Products[],3,0)</f>
        <v>Accessories</v>
      </c>
      <c r="R48" s="25">
        <f>Invoices[[#This Row],[Quantity]]*Invoices[[#This Row],[Unit Cost]]</f>
        <v>24.66</v>
      </c>
      <c r="S48" s="25">
        <f>Invoices[[#This Row],[Quantity]]*Invoices[[#This Row],[New Unit Price]]</f>
        <v>80</v>
      </c>
      <c r="T48" s="25">
        <f>Invoices[[#This Row],[Revenue]]-Invoices[[#This Row],[Cost]]</f>
        <v>55.34</v>
      </c>
      <c r="U48" s="25" t="str">
        <f>TEXT(Invoices[[#This Row],[Date]],"MMM")</f>
        <v>Feb</v>
      </c>
      <c r="V48" s="29">
        <f>CHOOSE(MONTH(Invoices[[#This Row],[Date]]),1,1,1,2,2,2,3,3,3,4,4,4)</f>
        <v>1</v>
      </c>
      <c r="W48" s="30">
        <f>IFERROR(Invoices[[#This Row],[Profit]]/Invoices[[#This Row],[Revenue]],0)</f>
        <v>0.69175000000000009</v>
      </c>
    </row>
    <row r="49" spans="1:23" x14ac:dyDescent="0.3">
      <c r="A49" s="19" t="s">
        <v>5</v>
      </c>
      <c r="B49" s="4">
        <v>22817</v>
      </c>
      <c r="C49" s="15">
        <v>41312</v>
      </c>
      <c r="D49" s="9">
        <v>104</v>
      </c>
      <c r="E49" s="10" t="s">
        <v>65</v>
      </c>
      <c r="F49" s="8">
        <v>5</v>
      </c>
      <c r="G49" s="10"/>
      <c r="H49" s="4" t="s">
        <v>120</v>
      </c>
      <c r="I49" s="4" t="s">
        <v>54</v>
      </c>
      <c r="J49" s="4">
        <v>1</v>
      </c>
      <c r="K49" s="23">
        <v>250</v>
      </c>
      <c r="L49">
        <f>IF(Invoices[[#This Row],[Document Type]]="Return",Invoices[[#This Row],[Unit Price]]*-1,Invoices[[#This Row],[Unit Price]])</f>
        <v>250</v>
      </c>
      <c r="M49" t="str">
        <f>IF(Invoices[[#This Row],[New Unit Price]]&lt;0,"Return",
IF(Invoices[[#This Row],[New Unit Price]]=0,"Free",IF(Invoices[[#This Row],[New Unit Price]]&lt;100,"Basic","Premium")))</f>
        <v>Premium</v>
      </c>
      <c r="N49">
        <f>VLOOKUP(Invoices[[#This Row],[Part  '#]],Products[],4,0)</f>
        <v>89.7</v>
      </c>
      <c r="O49" t="str">
        <f>VLOOKUP(Invoices[[#This Row],[Customer Account]],Customers[],4,0)</f>
        <v>Automotive</v>
      </c>
      <c r="P49" t="str">
        <f>VLOOKUP(Invoices[[#This Row],[Customer Account]],Customers[],3,0)</f>
        <v>North Carolina</v>
      </c>
      <c r="Q49" t="str">
        <f>VLOOKUP(Invoices[[#This Row],[Part  '#]],Products[],3,0)</f>
        <v>Accessories</v>
      </c>
      <c r="R49" s="25">
        <f>Invoices[[#This Row],[Quantity]]*Invoices[[#This Row],[Unit Cost]]</f>
        <v>89.7</v>
      </c>
      <c r="S49" s="25">
        <f>Invoices[[#This Row],[Quantity]]*Invoices[[#This Row],[New Unit Price]]</f>
        <v>250</v>
      </c>
      <c r="T49" s="25">
        <f>Invoices[[#This Row],[Revenue]]-Invoices[[#This Row],[Cost]]</f>
        <v>160.30000000000001</v>
      </c>
      <c r="U49" s="25" t="str">
        <f>TEXT(Invoices[[#This Row],[Date]],"MMM")</f>
        <v>Feb</v>
      </c>
      <c r="V49" s="29">
        <f>CHOOSE(MONTH(Invoices[[#This Row],[Date]]),1,1,1,2,2,2,3,3,3,4,4,4)</f>
        <v>1</v>
      </c>
      <c r="W49" s="30">
        <f>IFERROR(Invoices[[#This Row],[Profit]]/Invoices[[#This Row],[Revenue]],0)</f>
        <v>0.64119999999999999</v>
      </c>
    </row>
    <row r="50" spans="1:23" x14ac:dyDescent="0.3">
      <c r="A50" s="19" t="s">
        <v>5</v>
      </c>
      <c r="B50" s="4">
        <v>22817</v>
      </c>
      <c r="C50" s="15">
        <v>41312</v>
      </c>
      <c r="D50" s="9">
        <v>104</v>
      </c>
      <c r="E50" s="10" t="s">
        <v>65</v>
      </c>
      <c r="F50" s="8">
        <v>6</v>
      </c>
      <c r="G50" s="10"/>
      <c r="H50" s="4" t="s">
        <v>123</v>
      </c>
      <c r="I50" s="4" t="s">
        <v>38</v>
      </c>
      <c r="J50" s="4">
        <v>10</v>
      </c>
      <c r="K50" s="23">
        <v>20</v>
      </c>
      <c r="L50">
        <f>IF(Invoices[[#This Row],[Document Type]]="Return",Invoices[[#This Row],[Unit Price]]*-1,Invoices[[#This Row],[Unit Price]])</f>
        <v>20</v>
      </c>
      <c r="M50" t="str">
        <f>IF(Invoices[[#This Row],[New Unit Price]]&lt;0,"Return",
IF(Invoices[[#This Row],[New Unit Price]]=0,"Free",IF(Invoices[[#This Row],[New Unit Price]]&lt;100,"Basic","Premium")))</f>
        <v>Basic</v>
      </c>
      <c r="N50">
        <f>VLOOKUP(Invoices[[#This Row],[Part  '#]],Products[],4,0)</f>
        <v>4.58</v>
      </c>
      <c r="O50" t="str">
        <f>VLOOKUP(Invoices[[#This Row],[Customer Account]],Customers[],4,0)</f>
        <v>Automotive</v>
      </c>
      <c r="P50" t="str">
        <f>VLOOKUP(Invoices[[#This Row],[Customer Account]],Customers[],3,0)</f>
        <v>North Carolina</v>
      </c>
      <c r="Q50" t="str">
        <f>VLOOKUP(Invoices[[#This Row],[Part  '#]],Products[],3,0)</f>
        <v>Consumables</v>
      </c>
      <c r="R50" s="25">
        <f>Invoices[[#This Row],[Quantity]]*Invoices[[#This Row],[Unit Cost]]</f>
        <v>45.8</v>
      </c>
      <c r="S50" s="25">
        <f>Invoices[[#This Row],[Quantity]]*Invoices[[#This Row],[New Unit Price]]</f>
        <v>200</v>
      </c>
      <c r="T50" s="25">
        <f>Invoices[[#This Row],[Revenue]]-Invoices[[#This Row],[Cost]]</f>
        <v>154.19999999999999</v>
      </c>
      <c r="U50" s="25" t="str">
        <f>TEXT(Invoices[[#This Row],[Date]],"MMM")</f>
        <v>Feb</v>
      </c>
      <c r="V50" s="29">
        <f>CHOOSE(MONTH(Invoices[[#This Row],[Date]]),1,1,1,2,2,2,3,3,3,4,4,4)</f>
        <v>1</v>
      </c>
      <c r="W50" s="30">
        <f>IFERROR(Invoices[[#This Row],[Profit]]/Invoices[[#This Row],[Revenue]],0)</f>
        <v>0.77099999999999991</v>
      </c>
    </row>
    <row r="51" spans="1:23" x14ac:dyDescent="0.3">
      <c r="A51" s="19" t="s">
        <v>5</v>
      </c>
      <c r="B51" s="4">
        <v>22815</v>
      </c>
      <c r="C51" s="15">
        <v>41314</v>
      </c>
      <c r="D51" s="9">
        <v>102</v>
      </c>
      <c r="E51" s="10" t="s">
        <v>63</v>
      </c>
      <c r="F51" s="8">
        <v>1</v>
      </c>
      <c r="G51" s="10"/>
      <c r="H51" s="4" t="s">
        <v>93</v>
      </c>
      <c r="I51" s="4" t="s">
        <v>37</v>
      </c>
      <c r="J51" s="4">
        <v>1</v>
      </c>
      <c r="K51" s="23">
        <v>1800</v>
      </c>
      <c r="L51">
        <f>IF(Invoices[[#This Row],[Document Type]]="Return",Invoices[[#This Row],[Unit Price]]*-1,Invoices[[#This Row],[Unit Price]])</f>
        <v>1800</v>
      </c>
      <c r="M51" t="str">
        <f>IF(Invoices[[#This Row],[New Unit Price]]&lt;0,"Return",
IF(Invoices[[#This Row],[New Unit Price]]=0,"Free",IF(Invoices[[#This Row],[New Unit Price]]&lt;100,"Basic","Premium")))</f>
        <v>Premium</v>
      </c>
      <c r="N51">
        <f>VLOOKUP(Invoices[[#This Row],[Part  '#]],Products[],4,0)</f>
        <v>1050.3800000000001</v>
      </c>
      <c r="O51" t="str">
        <f>VLOOKUP(Invoices[[#This Row],[Customer Account]],Customers[],4,0)</f>
        <v>Automotive</v>
      </c>
      <c r="P51" t="str">
        <f>VLOOKUP(Invoices[[#This Row],[Customer Account]],Customers[],3,0)</f>
        <v>Georgia</v>
      </c>
      <c r="Q51" t="str">
        <f>VLOOKUP(Invoices[[#This Row],[Part  '#]],Products[],3,0)</f>
        <v>Product</v>
      </c>
      <c r="R51" s="25">
        <f>Invoices[[#This Row],[Quantity]]*Invoices[[#This Row],[Unit Cost]]</f>
        <v>1050.3800000000001</v>
      </c>
      <c r="S51" s="25">
        <f>Invoices[[#This Row],[Quantity]]*Invoices[[#This Row],[New Unit Price]]</f>
        <v>1800</v>
      </c>
      <c r="T51" s="25">
        <f>Invoices[[#This Row],[Revenue]]-Invoices[[#This Row],[Cost]]</f>
        <v>749.61999999999989</v>
      </c>
      <c r="U51" s="25" t="str">
        <f>TEXT(Invoices[[#This Row],[Date]],"MMM")</f>
        <v>Feb</v>
      </c>
      <c r="V51" s="29">
        <f>CHOOSE(MONTH(Invoices[[#This Row],[Date]]),1,1,1,2,2,2,3,3,3,4,4,4)</f>
        <v>1</v>
      </c>
      <c r="W51" s="30">
        <f>IFERROR(Invoices[[#This Row],[Profit]]/Invoices[[#This Row],[Revenue]],0)</f>
        <v>0.41645555555555547</v>
      </c>
    </row>
    <row r="52" spans="1:23" x14ac:dyDescent="0.3">
      <c r="A52" s="19" t="s">
        <v>5</v>
      </c>
      <c r="B52" s="4">
        <v>22818</v>
      </c>
      <c r="C52" s="15">
        <v>41334</v>
      </c>
      <c r="D52" s="9">
        <v>102</v>
      </c>
      <c r="E52" s="10" t="s">
        <v>63</v>
      </c>
      <c r="F52" s="8">
        <v>1</v>
      </c>
      <c r="G52" s="10"/>
      <c r="H52" s="4" t="s">
        <v>124</v>
      </c>
      <c r="I52" s="4" t="s">
        <v>39</v>
      </c>
      <c r="J52" s="4">
        <v>40</v>
      </c>
      <c r="K52" s="23">
        <v>35</v>
      </c>
      <c r="L52">
        <f>IF(Invoices[[#This Row],[Document Type]]="Return",Invoices[[#This Row],[Unit Price]]*-1,Invoices[[#This Row],[Unit Price]])</f>
        <v>35</v>
      </c>
      <c r="M52" t="str">
        <f>IF(Invoices[[#This Row],[New Unit Price]]&lt;0,"Return",
IF(Invoices[[#This Row],[New Unit Price]]=0,"Free",IF(Invoices[[#This Row],[New Unit Price]]&lt;100,"Basic","Premium")))</f>
        <v>Basic</v>
      </c>
      <c r="N52">
        <f>VLOOKUP(Invoices[[#This Row],[Part  '#]],Products[],4,0)</f>
        <v>6.37</v>
      </c>
      <c r="O52" t="str">
        <f>VLOOKUP(Invoices[[#This Row],[Customer Account]],Customers[],4,0)</f>
        <v>Automotive</v>
      </c>
      <c r="P52" t="str">
        <f>VLOOKUP(Invoices[[#This Row],[Customer Account]],Customers[],3,0)</f>
        <v>Georgia</v>
      </c>
      <c r="Q52" t="str">
        <f>VLOOKUP(Invoices[[#This Row],[Part  '#]],Products[],3,0)</f>
        <v>Consumables</v>
      </c>
      <c r="R52" s="25">
        <f>Invoices[[#This Row],[Quantity]]*Invoices[[#This Row],[Unit Cost]]</f>
        <v>254.8</v>
      </c>
      <c r="S52" s="25">
        <f>Invoices[[#This Row],[Quantity]]*Invoices[[#This Row],[New Unit Price]]</f>
        <v>1400</v>
      </c>
      <c r="T52" s="25">
        <f>Invoices[[#This Row],[Revenue]]-Invoices[[#This Row],[Cost]]</f>
        <v>1145.2</v>
      </c>
      <c r="U52" s="25" t="str">
        <f>TEXT(Invoices[[#This Row],[Date]],"MMM")</f>
        <v>Mar</v>
      </c>
      <c r="V52" s="29">
        <f>CHOOSE(MONTH(Invoices[[#This Row],[Date]]),1,1,1,2,2,2,3,3,3,4,4,4)</f>
        <v>1</v>
      </c>
      <c r="W52" s="30">
        <f>IFERROR(Invoices[[#This Row],[Profit]]/Invoices[[#This Row],[Revenue]],0)</f>
        <v>0.81800000000000006</v>
      </c>
    </row>
    <row r="53" spans="1:23" x14ac:dyDescent="0.3">
      <c r="A53" s="19" t="s">
        <v>5</v>
      </c>
      <c r="B53" s="4">
        <v>22818</v>
      </c>
      <c r="C53" s="15">
        <v>41334</v>
      </c>
      <c r="D53" s="9">
        <v>102</v>
      </c>
      <c r="E53" s="10" t="s">
        <v>63</v>
      </c>
      <c r="F53" s="8">
        <v>2</v>
      </c>
      <c r="G53" s="10"/>
      <c r="H53" s="4" t="s">
        <v>132</v>
      </c>
      <c r="I53" s="4" t="s">
        <v>49</v>
      </c>
      <c r="J53" s="4">
        <v>5</v>
      </c>
      <c r="K53" s="23">
        <v>70</v>
      </c>
      <c r="L53">
        <f>IF(Invoices[[#This Row],[Document Type]]="Return",Invoices[[#This Row],[Unit Price]]*-1,Invoices[[#This Row],[Unit Price]])</f>
        <v>70</v>
      </c>
      <c r="M53" t="str">
        <f>IF(Invoices[[#This Row],[New Unit Price]]&lt;0,"Return",
IF(Invoices[[#This Row],[New Unit Price]]=0,"Free",IF(Invoices[[#This Row],[New Unit Price]]&lt;100,"Basic","Premium")))</f>
        <v>Basic</v>
      </c>
      <c r="N53">
        <f>VLOOKUP(Invoices[[#This Row],[Part  '#]],Products[],4,0)</f>
        <v>13.92</v>
      </c>
      <c r="O53" t="str">
        <f>VLOOKUP(Invoices[[#This Row],[Customer Account]],Customers[],4,0)</f>
        <v>Automotive</v>
      </c>
      <c r="P53" t="str">
        <f>VLOOKUP(Invoices[[#This Row],[Customer Account]],Customers[],3,0)</f>
        <v>Georgia</v>
      </c>
      <c r="Q53" t="str">
        <f>VLOOKUP(Invoices[[#This Row],[Part  '#]],Products[],3,0)</f>
        <v>Consumables</v>
      </c>
      <c r="R53" s="25">
        <f>Invoices[[#This Row],[Quantity]]*Invoices[[#This Row],[Unit Cost]]</f>
        <v>69.599999999999994</v>
      </c>
      <c r="S53" s="25">
        <f>Invoices[[#This Row],[Quantity]]*Invoices[[#This Row],[New Unit Price]]</f>
        <v>350</v>
      </c>
      <c r="T53" s="25">
        <f>Invoices[[#This Row],[Revenue]]-Invoices[[#This Row],[Cost]]</f>
        <v>280.39999999999998</v>
      </c>
      <c r="U53" s="25" t="str">
        <f>TEXT(Invoices[[#This Row],[Date]],"MMM")</f>
        <v>Mar</v>
      </c>
      <c r="V53" s="29">
        <f>CHOOSE(MONTH(Invoices[[#This Row],[Date]]),1,1,1,2,2,2,3,3,3,4,4,4)</f>
        <v>1</v>
      </c>
      <c r="W53" s="30">
        <f>IFERROR(Invoices[[#This Row],[Profit]]/Invoices[[#This Row],[Revenue]],0)</f>
        <v>0.80114285714285705</v>
      </c>
    </row>
    <row r="54" spans="1:23" x14ac:dyDescent="0.3">
      <c r="A54" s="19" t="s">
        <v>5</v>
      </c>
      <c r="B54" s="4">
        <v>22819</v>
      </c>
      <c r="C54" s="15">
        <v>41334</v>
      </c>
      <c r="D54" s="9">
        <v>106</v>
      </c>
      <c r="E54" s="10" t="s">
        <v>69</v>
      </c>
      <c r="F54" s="8">
        <v>1</v>
      </c>
      <c r="G54" s="10"/>
      <c r="H54" s="4" t="s">
        <v>123</v>
      </c>
      <c r="I54" s="4" t="s">
        <v>38</v>
      </c>
      <c r="J54" s="4">
        <v>80</v>
      </c>
      <c r="K54" s="23">
        <v>18</v>
      </c>
      <c r="L54">
        <f>IF(Invoices[[#This Row],[Document Type]]="Return",Invoices[[#This Row],[Unit Price]]*-1,Invoices[[#This Row],[Unit Price]])</f>
        <v>18</v>
      </c>
      <c r="M54" t="str">
        <f>IF(Invoices[[#This Row],[New Unit Price]]&lt;0,"Return",
IF(Invoices[[#This Row],[New Unit Price]]=0,"Free",IF(Invoices[[#This Row],[New Unit Price]]&lt;100,"Basic","Premium")))</f>
        <v>Basic</v>
      </c>
      <c r="N54">
        <f>VLOOKUP(Invoices[[#This Row],[Part  '#]],Products[],4,0)</f>
        <v>4.58</v>
      </c>
      <c r="O54" t="str">
        <f>VLOOKUP(Invoices[[#This Row],[Customer Account]],Customers[],4,0)</f>
        <v>Automotive</v>
      </c>
      <c r="P54" t="str">
        <f>VLOOKUP(Invoices[[#This Row],[Customer Account]],Customers[],3,0)</f>
        <v>Tennessee</v>
      </c>
      <c r="Q54" t="str">
        <f>VLOOKUP(Invoices[[#This Row],[Part  '#]],Products[],3,0)</f>
        <v>Consumables</v>
      </c>
      <c r="R54" s="25">
        <f>Invoices[[#This Row],[Quantity]]*Invoices[[#This Row],[Unit Cost]]</f>
        <v>366.4</v>
      </c>
      <c r="S54" s="25">
        <f>Invoices[[#This Row],[Quantity]]*Invoices[[#This Row],[New Unit Price]]</f>
        <v>1440</v>
      </c>
      <c r="T54" s="25">
        <f>Invoices[[#This Row],[Revenue]]-Invoices[[#This Row],[Cost]]</f>
        <v>1073.5999999999999</v>
      </c>
      <c r="U54" s="25" t="str">
        <f>TEXT(Invoices[[#This Row],[Date]],"MMM")</f>
        <v>Mar</v>
      </c>
      <c r="V54" s="29">
        <f>CHOOSE(MONTH(Invoices[[#This Row],[Date]]),1,1,1,2,2,2,3,3,3,4,4,4)</f>
        <v>1</v>
      </c>
      <c r="W54" s="30">
        <f>IFERROR(Invoices[[#This Row],[Profit]]/Invoices[[#This Row],[Revenue]],0)</f>
        <v>0.74555555555555553</v>
      </c>
    </row>
    <row r="55" spans="1:23" x14ac:dyDescent="0.3">
      <c r="A55" s="19" t="s">
        <v>5</v>
      </c>
      <c r="B55" s="4">
        <v>22819</v>
      </c>
      <c r="C55" s="15">
        <v>41334</v>
      </c>
      <c r="D55" s="9">
        <v>106</v>
      </c>
      <c r="E55" s="10" t="s">
        <v>69</v>
      </c>
      <c r="F55" s="8">
        <v>2</v>
      </c>
      <c r="G55" s="10"/>
      <c r="H55" s="4" t="s">
        <v>132</v>
      </c>
      <c r="I55" s="4" t="s">
        <v>49</v>
      </c>
      <c r="J55" s="4">
        <v>20</v>
      </c>
      <c r="K55" s="23">
        <v>70</v>
      </c>
      <c r="L55">
        <f>IF(Invoices[[#This Row],[Document Type]]="Return",Invoices[[#This Row],[Unit Price]]*-1,Invoices[[#This Row],[Unit Price]])</f>
        <v>70</v>
      </c>
      <c r="M55" t="str">
        <f>IF(Invoices[[#This Row],[New Unit Price]]&lt;0,"Return",
IF(Invoices[[#This Row],[New Unit Price]]=0,"Free",IF(Invoices[[#This Row],[New Unit Price]]&lt;100,"Basic","Premium")))</f>
        <v>Basic</v>
      </c>
      <c r="N55">
        <f>VLOOKUP(Invoices[[#This Row],[Part  '#]],Products[],4,0)</f>
        <v>13.92</v>
      </c>
      <c r="O55" t="str">
        <f>VLOOKUP(Invoices[[#This Row],[Customer Account]],Customers[],4,0)</f>
        <v>Automotive</v>
      </c>
      <c r="P55" t="str">
        <f>VLOOKUP(Invoices[[#This Row],[Customer Account]],Customers[],3,0)</f>
        <v>Tennessee</v>
      </c>
      <c r="Q55" t="str">
        <f>VLOOKUP(Invoices[[#This Row],[Part  '#]],Products[],3,0)</f>
        <v>Consumables</v>
      </c>
      <c r="R55" s="25">
        <f>Invoices[[#This Row],[Quantity]]*Invoices[[#This Row],[Unit Cost]]</f>
        <v>278.39999999999998</v>
      </c>
      <c r="S55" s="25">
        <f>Invoices[[#This Row],[Quantity]]*Invoices[[#This Row],[New Unit Price]]</f>
        <v>1400</v>
      </c>
      <c r="T55" s="25">
        <f>Invoices[[#This Row],[Revenue]]-Invoices[[#This Row],[Cost]]</f>
        <v>1121.5999999999999</v>
      </c>
      <c r="U55" s="25" t="str">
        <f>TEXT(Invoices[[#This Row],[Date]],"MMM")</f>
        <v>Mar</v>
      </c>
      <c r="V55" s="29">
        <f>CHOOSE(MONTH(Invoices[[#This Row],[Date]]),1,1,1,2,2,2,3,3,3,4,4,4)</f>
        <v>1</v>
      </c>
      <c r="W55" s="30">
        <f>IFERROR(Invoices[[#This Row],[Profit]]/Invoices[[#This Row],[Revenue]],0)</f>
        <v>0.80114285714285705</v>
      </c>
    </row>
    <row r="56" spans="1:23" x14ac:dyDescent="0.3">
      <c r="A56" s="19" t="s">
        <v>5</v>
      </c>
      <c r="B56" s="4">
        <v>22820</v>
      </c>
      <c r="C56" s="15">
        <v>41334</v>
      </c>
      <c r="D56" s="9">
        <v>107</v>
      </c>
      <c r="E56" s="10" t="s">
        <v>72</v>
      </c>
      <c r="F56" s="8">
        <v>1</v>
      </c>
      <c r="G56" s="10"/>
      <c r="H56" s="4" t="s">
        <v>125</v>
      </c>
      <c r="I56" s="4" t="s">
        <v>40</v>
      </c>
      <c r="J56" s="4">
        <v>10</v>
      </c>
      <c r="K56" s="23">
        <v>30</v>
      </c>
      <c r="L56">
        <f>IF(Invoices[[#This Row],[Document Type]]="Return",Invoices[[#This Row],[Unit Price]]*-1,Invoices[[#This Row],[Unit Price]])</f>
        <v>30</v>
      </c>
      <c r="M56" t="str">
        <f>IF(Invoices[[#This Row],[New Unit Price]]&lt;0,"Return",
IF(Invoices[[#This Row],[New Unit Price]]=0,"Free",IF(Invoices[[#This Row],[New Unit Price]]&lt;100,"Basic","Premium")))</f>
        <v>Basic</v>
      </c>
      <c r="N56">
        <f>VLOOKUP(Invoices[[#This Row],[Part  '#]],Products[],4,0)</f>
        <v>6.9</v>
      </c>
      <c r="O56" t="str">
        <f>VLOOKUP(Invoices[[#This Row],[Customer Account]],Customers[],4,0)</f>
        <v>Financial</v>
      </c>
      <c r="P56" t="str">
        <f>VLOOKUP(Invoices[[#This Row],[Customer Account]],Customers[],3,0)</f>
        <v>Georgia</v>
      </c>
      <c r="Q56" t="str">
        <f>VLOOKUP(Invoices[[#This Row],[Part  '#]],Products[],3,0)</f>
        <v>Consumables</v>
      </c>
      <c r="R56" s="25">
        <f>Invoices[[#This Row],[Quantity]]*Invoices[[#This Row],[Unit Cost]]</f>
        <v>69</v>
      </c>
      <c r="S56" s="25">
        <f>Invoices[[#This Row],[Quantity]]*Invoices[[#This Row],[New Unit Price]]</f>
        <v>300</v>
      </c>
      <c r="T56" s="25">
        <f>Invoices[[#This Row],[Revenue]]-Invoices[[#This Row],[Cost]]</f>
        <v>231</v>
      </c>
      <c r="U56" s="25" t="str">
        <f>TEXT(Invoices[[#This Row],[Date]],"MMM")</f>
        <v>Mar</v>
      </c>
      <c r="V56" s="29">
        <f>CHOOSE(MONTH(Invoices[[#This Row],[Date]]),1,1,1,2,2,2,3,3,3,4,4,4)</f>
        <v>1</v>
      </c>
      <c r="W56" s="30">
        <f>IFERROR(Invoices[[#This Row],[Profit]]/Invoices[[#This Row],[Revenue]],0)</f>
        <v>0.77</v>
      </c>
    </row>
    <row r="57" spans="1:23" x14ac:dyDescent="0.3">
      <c r="A57" s="19" t="s">
        <v>5</v>
      </c>
      <c r="B57" s="4">
        <v>22820</v>
      </c>
      <c r="C57" s="15">
        <v>41334</v>
      </c>
      <c r="D57" s="9">
        <v>107</v>
      </c>
      <c r="E57" s="10" t="s">
        <v>72</v>
      </c>
      <c r="F57" s="8">
        <v>2</v>
      </c>
      <c r="G57" s="10"/>
      <c r="H57" s="4" t="s">
        <v>132</v>
      </c>
      <c r="I57" s="4" t="s">
        <v>49</v>
      </c>
      <c r="J57" s="4">
        <v>2</v>
      </c>
      <c r="K57" s="23">
        <v>70</v>
      </c>
      <c r="L57">
        <f>IF(Invoices[[#This Row],[Document Type]]="Return",Invoices[[#This Row],[Unit Price]]*-1,Invoices[[#This Row],[Unit Price]])</f>
        <v>70</v>
      </c>
      <c r="M57" t="str">
        <f>IF(Invoices[[#This Row],[New Unit Price]]&lt;0,"Return",
IF(Invoices[[#This Row],[New Unit Price]]=0,"Free",IF(Invoices[[#This Row],[New Unit Price]]&lt;100,"Basic","Premium")))</f>
        <v>Basic</v>
      </c>
      <c r="N57">
        <f>VLOOKUP(Invoices[[#This Row],[Part  '#]],Products[],4,0)</f>
        <v>13.92</v>
      </c>
      <c r="O57" t="str">
        <f>VLOOKUP(Invoices[[#This Row],[Customer Account]],Customers[],4,0)</f>
        <v>Financial</v>
      </c>
      <c r="P57" t="str">
        <f>VLOOKUP(Invoices[[#This Row],[Customer Account]],Customers[],3,0)</f>
        <v>Georgia</v>
      </c>
      <c r="Q57" t="str">
        <f>VLOOKUP(Invoices[[#This Row],[Part  '#]],Products[],3,0)</f>
        <v>Consumables</v>
      </c>
      <c r="R57" s="25">
        <f>Invoices[[#This Row],[Quantity]]*Invoices[[#This Row],[Unit Cost]]</f>
        <v>27.84</v>
      </c>
      <c r="S57" s="25">
        <f>Invoices[[#This Row],[Quantity]]*Invoices[[#This Row],[New Unit Price]]</f>
        <v>140</v>
      </c>
      <c r="T57" s="25">
        <f>Invoices[[#This Row],[Revenue]]-Invoices[[#This Row],[Cost]]</f>
        <v>112.16</v>
      </c>
      <c r="U57" s="25" t="str">
        <f>TEXT(Invoices[[#This Row],[Date]],"MMM")</f>
        <v>Mar</v>
      </c>
      <c r="V57" s="29">
        <f>CHOOSE(MONTH(Invoices[[#This Row],[Date]]),1,1,1,2,2,2,3,3,3,4,4,4)</f>
        <v>1</v>
      </c>
      <c r="W57" s="30">
        <f>IFERROR(Invoices[[#This Row],[Profit]]/Invoices[[#This Row],[Revenue]],0)</f>
        <v>0.80114285714285716</v>
      </c>
    </row>
    <row r="58" spans="1:23" x14ac:dyDescent="0.3">
      <c r="A58" s="19" t="s">
        <v>5</v>
      </c>
      <c r="B58" s="4">
        <v>22821</v>
      </c>
      <c r="C58" s="15">
        <v>41334</v>
      </c>
      <c r="D58" s="9">
        <v>112</v>
      </c>
      <c r="E58" s="10" t="s">
        <v>80</v>
      </c>
      <c r="F58" s="8">
        <v>1</v>
      </c>
      <c r="G58" s="10"/>
      <c r="H58" s="4" t="s">
        <v>132</v>
      </c>
      <c r="I58" s="4" t="s">
        <v>49</v>
      </c>
      <c r="J58" s="4">
        <v>5</v>
      </c>
      <c r="K58" s="23">
        <v>70</v>
      </c>
      <c r="L58">
        <f>IF(Invoices[[#This Row],[Document Type]]="Return",Invoices[[#This Row],[Unit Price]]*-1,Invoices[[#This Row],[Unit Price]])</f>
        <v>70</v>
      </c>
      <c r="M58" t="str">
        <f>IF(Invoices[[#This Row],[New Unit Price]]&lt;0,"Return",
IF(Invoices[[#This Row],[New Unit Price]]=0,"Free",IF(Invoices[[#This Row],[New Unit Price]]&lt;100,"Basic","Premium")))</f>
        <v>Basic</v>
      </c>
      <c r="N58">
        <f>VLOOKUP(Invoices[[#This Row],[Part  '#]],Products[],4,0)</f>
        <v>13.92</v>
      </c>
      <c r="O58" t="str">
        <f>VLOOKUP(Invoices[[#This Row],[Customer Account]],Customers[],4,0)</f>
        <v>Financial</v>
      </c>
      <c r="P58" t="str">
        <f>VLOOKUP(Invoices[[#This Row],[Customer Account]],Customers[],3,0)</f>
        <v>Georgia</v>
      </c>
      <c r="Q58" t="str">
        <f>VLOOKUP(Invoices[[#This Row],[Part  '#]],Products[],3,0)</f>
        <v>Consumables</v>
      </c>
      <c r="R58" s="25">
        <f>Invoices[[#This Row],[Quantity]]*Invoices[[#This Row],[Unit Cost]]</f>
        <v>69.599999999999994</v>
      </c>
      <c r="S58" s="25">
        <f>Invoices[[#This Row],[Quantity]]*Invoices[[#This Row],[New Unit Price]]</f>
        <v>350</v>
      </c>
      <c r="T58" s="25">
        <f>Invoices[[#This Row],[Revenue]]-Invoices[[#This Row],[Cost]]</f>
        <v>280.39999999999998</v>
      </c>
      <c r="U58" s="25" t="str">
        <f>TEXT(Invoices[[#This Row],[Date]],"MMM")</f>
        <v>Mar</v>
      </c>
      <c r="V58" s="29">
        <f>CHOOSE(MONTH(Invoices[[#This Row],[Date]]),1,1,1,2,2,2,3,3,3,4,4,4)</f>
        <v>1</v>
      </c>
      <c r="W58" s="30">
        <f>IFERROR(Invoices[[#This Row],[Profit]]/Invoices[[#This Row],[Revenue]],0)</f>
        <v>0.80114285714285705</v>
      </c>
    </row>
    <row r="59" spans="1:23" x14ac:dyDescent="0.3">
      <c r="A59" s="19" t="s">
        <v>5</v>
      </c>
      <c r="B59" s="4">
        <v>22821</v>
      </c>
      <c r="C59" s="15">
        <v>41334</v>
      </c>
      <c r="D59" s="9">
        <v>112</v>
      </c>
      <c r="E59" s="10" t="s">
        <v>80</v>
      </c>
      <c r="F59" s="8">
        <v>2</v>
      </c>
      <c r="G59" s="10"/>
      <c r="H59" s="4" t="s">
        <v>125</v>
      </c>
      <c r="I59" s="4" t="s">
        <v>40</v>
      </c>
      <c r="J59" s="4">
        <v>5</v>
      </c>
      <c r="K59" s="23">
        <v>30</v>
      </c>
      <c r="L59">
        <f>IF(Invoices[[#This Row],[Document Type]]="Return",Invoices[[#This Row],[Unit Price]]*-1,Invoices[[#This Row],[Unit Price]])</f>
        <v>30</v>
      </c>
      <c r="M59" t="str">
        <f>IF(Invoices[[#This Row],[New Unit Price]]&lt;0,"Return",
IF(Invoices[[#This Row],[New Unit Price]]=0,"Free",IF(Invoices[[#This Row],[New Unit Price]]&lt;100,"Basic","Premium")))</f>
        <v>Basic</v>
      </c>
      <c r="N59">
        <f>VLOOKUP(Invoices[[#This Row],[Part  '#]],Products[],4,0)</f>
        <v>6.9</v>
      </c>
      <c r="O59" t="str">
        <f>VLOOKUP(Invoices[[#This Row],[Customer Account]],Customers[],4,0)</f>
        <v>Financial</v>
      </c>
      <c r="P59" t="str">
        <f>VLOOKUP(Invoices[[#This Row],[Customer Account]],Customers[],3,0)</f>
        <v>Georgia</v>
      </c>
      <c r="Q59" t="str">
        <f>VLOOKUP(Invoices[[#This Row],[Part  '#]],Products[],3,0)</f>
        <v>Consumables</v>
      </c>
      <c r="R59" s="25">
        <f>Invoices[[#This Row],[Quantity]]*Invoices[[#This Row],[Unit Cost]]</f>
        <v>34.5</v>
      </c>
      <c r="S59" s="25">
        <f>Invoices[[#This Row],[Quantity]]*Invoices[[#This Row],[New Unit Price]]</f>
        <v>150</v>
      </c>
      <c r="T59" s="25">
        <f>Invoices[[#This Row],[Revenue]]-Invoices[[#This Row],[Cost]]</f>
        <v>115.5</v>
      </c>
      <c r="U59" s="25" t="str">
        <f>TEXT(Invoices[[#This Row],[Date]],"MMM")</f>
        <v>Mar</v>
      </c>
      <c r="V59" s="29">
        <f>CHOOSE(MONTH(Invoices[[#This Row],[Date]]),1,1,1,2,2,2,3,3,3,4,4,4)</f>
        <v>1</v>
      </c>
      <c r="W59" s="30">
        <f>IFERROR(Invoices[[#This Row],[Profit]]/Invoices[[#This Row],[Revenue]],0)</f>
        <v>0.77</v>
      </c>
    </row>
    <row r="60" spans="1:23" x14ac:dyDescent="0.3">
      <c r="A60" s="19" t="s">
        <v>5</v>
      </c>
      <c r="B60" s="4">
        <v>22822</v>
      </c>
      <c r="C60" s="15">
        <v>41334</v>
      </c>
      <c r="D60" s="9">
        <v>117</v>
      </c>
      <c r="E60" s="10" t="s">
        <v>85</v>
      </c>
      <c r="F60" s="8">
        <v>1</v>
      </c>
      <c r="G60" s="10"/>
      <c r="H60" s="4" t="s">
        <v>132</v>
      </c>
      <c r="I60" s="4" t="s">
        <v>49</v>
      </c>
      <c r="J60" s="4">
        <v>12</v>
      </c>
      <c r="K60" s="23">
        <v>70</v>
      </c>
      <c r="L60">
        <f>IF(Invoices[[#This Row],[Document Type]]="Return",Invoices[[#This Row],[Unit Price]]*-1,Invoices[[#This Row],[Unit Price]])</f>
        <v>70</v>
      </c>
      <c r="M60" t="str">
        <f>IF(Invoices[[#This Row],[New Unit Price]]&lt;0,"Return",
IF(Invoices[[#This Row],[New Unit Price]]=0,"Free",IF(Invoices[[#This Row],[New Unit Price]]&lt;100,"Basic","Premium")))</f>
        <v>Basic</v>
      </c>
      <c r="N60">
        <f>VLOOKUP(Invoices[[#This Row],[Part  '#]],Products[],4,0)</f>
        <v>13.92</v>
      </c>
      <c r="O60" t="str">
        <f>VLOOKUP(Invoices[[#This Row],[Customer Account]],Customers[],4,0)</f>
        <v>Automotive</v>
      </c>
      <c r="P60" t="str">
        <f>VLOOKUP(Invoices[[#This Row],[Customer Account]],Customers[],3,0)</f>
        <v>Georgia</v>
      </c>
      <c r="Q60" t="str">
        <f>VLOOKUP(Invoices[[#This Row],[Part  '#]],Products[],3,0)</f>
        <v>Consumables</v>
      </c>
      <c r="R60" s="25">
        <f>Invoices[[#This Row],[Quantity]]*Invoices[[#This Row],[Unit Cost]]</f>
        <v>167.04</v>
      </c>
      <c r="S60" s="25">
        <f>Invoices[[#This Row],[Quantity]]*Invoices[[#This Row],[New Unit Price]]</f>
        <v>840</v>
      </c>
      <c r="T60" s="25">
        <f>Invoices[[#This Row],[Revenue]]-Invoices[[#This Row],[Cost]]</f>
        <v>672.96</v>
      </c>
      <c r="U60" s="25" t="str">
        <f>TEXT(Invoices[[#This Row],[Date]],"MMM")</f>
        <v>Mar</v>
      </c>
      <c r="V60" s="29">
        <f>CHOOSE(MONTH(Invoices[[#This Row],[Date]]),1,1,1,2,2,2,3,3,3,4,4,4)</f>
        <v>1</v>
      </c>
      <c r="W60" s="30">
        <f>IFERROR(Invoices[[#This Row],[Profit]]/Invoices[[#This Row],[Revenue]],0)</f>
        <v>0.80114285714285716</v>
      </c>
    </row>
    <row r="61" spans="1:23" x14ac:dyDescent="0.3">
      <c r="A61" s="19" t="s">
        <v>5</v>
      </c>
      <c r="B61" s="4">
        <v>22822</v>
      </c>
      <c r="C61" s="15">
        <v>41334</v>
      </c>
      <c r="D61" s="9">
        <v>117</v>
      </c>
      <c r="E61" s="10" t="s">
        <v>85</v>
      </c>
      <c r="F61" s="8">
        <v>2</v>
      </c>
      <c r="G61" s="10"/>
      <c r="H61" s="4" t="s">
        <v>125</v>
      </c>
      <c r="I61" s="4" t="s">
        <v>40</v>
      </c>
      <c r="J61" s="4">
        <v>12</v>
      </c>
      <c r="K61" s="23">
        <v>30</v>
      </c>
      <c r="L61">
        <f>IF(Invoices[[#This Row],[Document Type]]="Return",Invoices[[#This Row],[Unit Price]]*-1,Invoices[[#This Row],[Unit Price]])</f>
        <v>30</v>
      </c>
      <c r="M61" t="str">
        <f>IF(Invoices[[#This Row],[New Unit Price]]&lt;0,"Return",
IF(Invoices[[#This Row],[New Unit Price]]=0,"Free",IF(Invoices[[#This Row],[New Unit Price]]&lt;100,"Basic","Premium")))</f>
        <v>Basic</v>
      </c>
      <c r="N61">
        <f>VLOOKUP(Invoices[[#This Row],[Part  '#]],Products[],4,0)</f>
        <v>6.9</v>
      </c>
      <c r="O61" t="str">
        <f>VLOOKUP(Invoices[[#This Row],[Customer Account]],Customers[],4,0)</f>
        <v>Automotive</v>
      </c>
      <c r="P61" t="str">
        <f>VLOOKUP(Invoices[[#This Row],[Customer Account]],Customers[],3,0)</f>
        <v>Georgia</v>
      </c>
      <c r="Q61" t="str">
        <f>VLOOKUP(Invoices[[#This Row],[Part  '#]],Products[],3,0)</f>
        <v>Consumables</v>
      </c>
      <c r="R61" s="25">
        <f>Invoices[[#This Row],[Quantity]]*Invoices[[#This Row],[Unit Cost]]</f>
        <v>82.800000000000011</v>
      </c>
      <c r="S61" s="25">
        <f>Invoices[[#This Row],[Quantity]]*Invoices[[#This Row],[New Unit Price]]</f>
        <v>360</v>
      </c>
      <c r="T61" s="25">
        <f>Invoices[[#This Row],[Revenue]]-Invoices[[#This Row],[Cost]]</f>
        <v>277.2</v>
      </c>
      <c r="U61" s="25" t="str">
        <f>TEXT(Invoices[[#This Row],[Date]],"MMM")</f>
        <v>Mar</v>
      </c>
      <c r="V61" s="29">
        <f>CHOOSE(MONTH(Invoices[[#This Row],[Date]]),1,1,1,2,2,2,3,3,3,4,4,4)</f>
        <v>1</v>
      </c>
      <c r="W61" s="30">
        <f>IFERROR(Invoices[[#This Row],[Profit]]/Invoices[[#This Row],[Revenue]],0)</f>
        <v>0.77</v>
      </c>
    </row>
    <row r="62" spans="1:23" x14ac:dyDescent="0.3">
      <c r="A62" s="19" t="s">
        <v>5</v>
      </c>
      <c r="B62" s="4">
        <v>22823</v>
      </c>
      <c r="C62" s="15">
        <v>41345</v>
      </c>
      <c r="D62" s="9">
        <v>113</v>
      </c>
      <c r="E62" s="10" t="s">
        <v>81</v>
      </c>
      <c r="F62" s="8">
        <v>1</v>
      </c>
      <c r="G62" s="10"/>
      <c r="H62" s="4" t="s">
        <v>92</v>
      </c>
      <c r="I62" s="4" t="s">
        <v>10</v>
      </c>
      <c r="J62" s="4">
        <v>50</v>
      </c>
      <c r="K62" s="23">
        <v>1500</v>
      </c>
      <c r="L62">
        <f>IF(Invoices[[#This Row],[Document Type]]="Return",Invoices[[#This Row],[Unit Price]]*-1,Invoices[[#This Row],[Unit Price]])</f>
        <v>1500</v>
      </c>
      <c r="M62" t="str">
        <f>IF(Invoices[[#This Row],[New Unit Price]]&lt;0,"Return",
IF(Invoices[[#This Row],[New Unit Price]]=0,"Free",IF(Invoices[[#This Row],[New Unit Price]]&lt;100,"Basic","Premium")))</f>
        <v>Premium</v>
      </c>
      <c r="N62">
        <f>VLOOKUP(Invoices[[#This Row],[Part  '#]],Products[],4,0)</f>
        <v>899.1</v>
      </c>
      <c r="O62" t="str">
        <f>VLOOKUP(Invoices[[#This Row],[Customer Account]],Customers[],4,0)</f>
        <v>Financial</v>
      </c>
      <c r="P62" t="str">
        <f>VLOOKUP(Invoices[[#This Row],[Customer Account]],Customers[],3,0)</f>
        <v>Georgia</v>
      </c>
      <c r="Q62" t="str">
        <f>VLOOKUP(Invoices[[#This Row],[Part  '#]],Products[],3,0)</f>
        <v>Product</v>
      </c>
      <c r="R62" s="25">
        <f>Invoices[[#This Row],[Quantity]]*Invoices[[#This Row],[Unit Cost]]</f>
        <v>44955</v>
      </c>
      <c r="S62" s="25">
        <f>Invoices[[#This Row],[Quantity]]*Invoices[[#This Row],[New Unit Price]]</f>
        <v>75000</v>
      </c>
      <c r="T62" s="25">
        <f>Invoices[[#This Row],[Revenue]]-Invoices[[#This Row],[Cost]]</f>
        <v>30045</v>
      </c>
      <c r="U62" s="25" t="str">
        <f>TEXT(Invoices[[#This Row],[Date]],"MMM")</f>
        <v>Mar</v>
      </c>
      <c r="V62" s="29">
        <f>CHOOSE(MONTH(Invoices[[#This Row],[Date]]),1,1,1,2,2,2,3,3,3,4,4,4)</f>
        <v>1</v>
      </c>
      <c r="W62" s="30">
        <f>IFERROR(Invoices[[#This Row],[Profit]]/Invoices[[#This Row],[Revenue]],0)</f>
        <v>0.40060000000000001</v>
      </c>
    </row>
    <row r="63" spans="1:23" x14ac:dyDescent="0.3">
      <c r="A63" s="19" t="s">
        <v>5</v>
      </c>
      <c r="B63" s="4">
        <v>22823</v>
      </c>
      <c r="C63" s="15">
        <v>41345</v>
      </c>
      <c r="D63" s="9">
        <v>113</v>
      </c>
      <c r="E63" s="10" t="s">
        <v>81</v>
      </c>
      <c r="F63" s="8">
        <v>2</v>
      </c>
      <c r="G63" s="10"/>
      <c r="H63" s="4" t="s">
        <v>110</v>
      </c>
      <c r="I63" s="4" t="s">
        <v>25</v>
      </c>
      <c r="J63" s="4">
        <v>50</v>
      </c>
      <c r="K63" s="23">
        <v>0</v>
      </c>
      <c r="L63">
        <f>IF(Invoices[[#This Row],[Document Type]]="Return",Invoices[[#This Row],[Unit Price]]*-1,Invoices[[#This Row],[Unit Price]])</f>
        <v>0</v>
      </c>
      <c r="M63" t="str">
        <f>IF(Invoices[[#This Row],[New Unit Price]]&lt;0,"Return",
IF(Invoices[[#This Row],[New Unit Price]]=0,"Free",IF(Invoices[[#This Row],[New Unit Price]]&lt;100,"Basic","Premium")))</f>
        <v>Free</v>
      </c>
      <c r="N63">
        <f>VLOOKUP(Invoices[[#This Row],[Part  '#]],Products[],4,0)</f>
        <v>13.79</v>
      </c>
      <c r="O63" t="str">
        <f>VLOOKUP(Invoices[[#This Row],[Customer Account]],Customers[],4,0)</f>
        <v>Financial</v>
      </c>
      <c r="P63" t="str">
        <f>VLOOKUP(Invoices[[#This Row],[Customer Account]],Customers[],3,0)</f>
        <v>Georgia</v>
      </c>
      <c r="Q63" t="str">
        <f>VLOOKUP(Invoices[[#This Row],[Part  '#]],Products[],3,0)</f>
        <v>Accessories</v>
      </c>
      <c r="R63" s="25">
        <f>Invoices[[#This Row],[Quantity]]*Invoices[[#This Row],[Unit Cost]]</f>
        <v>689.5</v>
      </c>
      <c r="S63" s="25">
        <f>Invoices[[#This Row],[Quantity]]*Invoices[[#This Row],[New Unit Price]]</f>
        <v>0</v>
      </c>
      <c r="T63" s="25">
        <f>Invoices[[#This Row],[Revenue]]-Invoices[[#This Row],[Cost]]</f>
        <v>-689.5</v>
      </c>
      <c r="U63" s="25" t="str">
        <f>TEXT(Invoices[[#This Row],[Date]],"MMM")</f>
        <v>Mar</v>
      </c>
      <c r="V63" s="29">
        <f>CHOOSE(MONTH(Invoices[[#This Row],[Date]]),1,1,1,2,2,2,3,3,3,4,4,4)</f>
        <v>1</v>
      </c>
      <c r="W63" s="30">
        <f>IFERROR(Invoices[[#This Row],[Profit]]/Invoices[[#This Row],[Revenue]],0)</f>
        <v>0</v>
      </c>
    </row>
    <row r="64" spans="1:23" x14ac:dyDescent="0.3">
      <c r="A64" s="19" t="s">
        <v>5</v>
      </c>
      <c r="B64" s="4">
        <v>22823</v>
      </c>
      <c r="C64" s="15">
        <v>41345</v>
      </c>
      <c r="D64" s="9">
        <v>113</v>
      </c>
      <c r="E64" s="10" t="s">
        <v>81</v>
      </c>
      <c r="F64" s="8">
        <v>3</v>
      </c>
      <c r="G64" s="10"/>
      <c r="H64" s="4" t="s">
        <v>117</v>
      </c>
      <c r="I64" s="4" t="s">
        <v>33</v>
      </c>
      <c r="J64" s="4">
        <v>50</v>
      </c>
      <c r="K64" s="23">
        <v>0</v>
      </c>
      <c r="L64">
        <f>IF(Invoices[[#This Row],[Document Type]]="Return",Invoices[[#This Row],[Unit Price]]*-1,Invoices[[#This Row],[Unit Price]])</f>
        <v>0</v>
      </c>
      <c r="M64" t="str">
        <f>IF(Invoices[[#This Row],[New Unit Price]]&lt;0,"Return",
IF(Invoices[[#This Row],[New Unit Price]]=0,"Free",IF(Invoices[[#This Row],[New Unit Price]]&lt;100,"Basic","Premium")))</f>
        <v>Free</v>
      </c>
      <c r="N64">
        <f>VLOOKUP(Invoices[[#This Row],[Part  '#]],Products[],4,0)</f>
        <v>11.59</v>
      </c>
      <c r="O64" t="str">
        <f>VLOOKUP(Invoices[[#This Row],[Customer Account]],Customers[],4,0)</f>
        <v>Financial</v>
      </c>
      <c r="P64" t="str">
        <f>VLOOKUP(Invoices[[#This Row],[Customer Account]],Customers[],3,0)</f>
        <v>Georgia</v>
      </c>
      <c r="Q64" t="str">
        <f>VLOOKUP(Invoices[[#This Row],[Part  '#]],Products[],3,0)</f>
        <v>Accessories</v>
      </c>
      <c r="R64" s="25">
        <f>Invoices[[#This Row],[Quantity]]*Invoices[[#This Row],[Unit Cost]]</f>
        <v>579.5</v>
      </c>
      <c r="S64" s="25">
        <f>Invoices[[#This Row],[Quantity]]*Invoices[[#This Row],[New Unit Price]]</f>
        <v>0</v>
      </c>
      <c r="T64" s="25">
        <f>Invoices[[#This Row],[Revenue]]-Invoices[[#This Row],[Cost]]</f>
        <v>-579.5</v>
      </c>
      <c r="U64" s="25" t="str">
        <f>TEXT(Invoices[[#This Row],[Date]],"MMM")</f>
        <v>Mar</v>
      </c>
      <c r="V64" s="29">
        <f>CHOOSE(MONTH(Invoices[[#This Row],[Date]]),1,1,1,2,2,2,3,3,3,4,4,4)</f>
        <v>1</v>
      </c>
      <c r="W64" s="30">
        <f>IFERROR(Invoices[[#This Row],[Profit]]/Invoices[[#This Row],[Revenue]],0)</f>
        <v>0</v>
      </c>
    </row>
    <row r="65" spans="1:23" x14ac:dyDescent="0.3">
      <c r="A65" s="19" t="s">
        <v>5</v>
      </c>
      <c r="B65" s="4">
        <v>22823</v>
      </c>
      <c r="C65" s="15">
        <v>41345</v>
      </c>
      <c r="D65" s="9">
        <v>113</v>
      </c>
      <c r="E65" s="10" t="s">
        <v>81</v>
      </c>
      <c r="F65" s="8">
        <v>4</v>
      </c>
      <c r="G65" s="10"/>
      <c r="H65" s="4" t="s">
        <v>118</v>
      </c>
      <c r="I65" s="4" t="s">
        <v>42</v>
      </c>
      <c r="J65" s="4">
        <v>50</v>
      </c>
      <c r="K65" s="23">
        <v>0</v>
      </c>
      <c r="L65">
        <f>IF(Invoices[[#This Row],[Document Type]]="Return",Invoices[[#This Row],[Unit Price]]*-1,Invoices[[#This Row],[Unit Price]])</f>
        <v>0</v>
      </c>
      <c r="M65" t="str">
        <f>IF(Invoices[[#This Row],[New Unit Price]]&lt;0,"Return",
IF(Invoices[[#This Row],[New Unit Price]]=0,"Free",IF(Invoices[[#This Row],[New Unit Price]]&lt;100,"Basic","Premium")))</f>
        <v>Free</v>
      </c>
      <c r="N65">
        <f>VLOOKUP(Invoices[[#This Row],[Part  '#]],Products[],4,0)</f>
        <v>12.33</v>
      </c>
      <c r="O65" t="str">
        <f>VLOOKUP(Invoices[[#This Row],[Customer Account]],Customers[],4,0)</f>
        <v>Financial</v>
      </c>
      <c r="P65" t="str">
        <f>VLOOKUP(Invoices[[#This Row],[Customer Account]],Customers[],3,0)</f>
        <v>Georgia</v>
      </c>
      <c r="Q65" t="str">
        <f>VLOOKUP(Invoices[[#This Row],[Part  '#]],Products[],3,0)</f>
        <v>Accessories</v>
      </c>
      <c r="R65" s="25">
        <f>Invoices[[#This Row],[Quantity]]*Invoices[[#This Row],[Unit Cost]]</f>
        <v>616.5</v>
      </c>
      <c r="S65" s="25">
        <f>Invoices[[#This Row],[Quantity]]*Invoices[[#This Row],[New Unit Price]]</f>
        <v>0</v>
      </c>
      <c r="T65" s="25">
        <f>Invoices[[#This Row],[Revenue]]-Invoices[[#This Row],[Cost]]</f>
        <v>-616.5</v>
      </c>
      <c r="U65" s="25" t="str">
        <f>TEXT(Invoices[[#This Row],[Date]],"MMM")</f>
        <v>Mar</v>
      </c>
      <c r="V65" s="29">
        <f>CHOOSE(MONTH(Invoices[[#This Row],[Date]]),1,1,1,2,2,2,3,3,3,4,4,4)</f>
        <v>1</v>
      </c>
      <c r="W65" s="30">
        <f>IFERROR(Invoices[[#This Row],[Profit]]/Invoices[[#This Row],[Revenue]],0)</f>
        <v>0</v>
      </c>
    </row>
    <row r="66" spans="1:23" x14ac:dyDescent="0.3">
      <c r="A66" s="19" t="s">
        <v>5</v>
      </c>
      <c r="B66" s="4">
        <v>22823</v>
      </c>
      <c r="C66" s="15">
        <v>41345</v>
      </c>
      <c r="D66" s="9">
        <v>113</v>
      </c>
      <c r="E66" s="10" t="s">
        <v>81</v>
      </c>
      <c r="F66" s="8">
        <v>5</v>
      </c>
      <c r="G66" s="10"/>
      <c r="H66" s="4" t="s">
        <v>120</v>
      </c>
      <c r="I66" s="4" t="s">
        <v>54</v>
      </c>
      <c r="J66" s="4">
        <v>5</v>
      </c>
      <c r="K66" s="23">
        <v>0</v>
      </c>
      <c r="L66">
        <f>IF(Invoices[[#This Row],[Document Type]]="Return",Invoices[[#This Row],[Unit Price]]*-1,Invoices[[#This Row],[Unit Price]])</f>
        <v>0</v>
      </c>
      <c r="M66" t="str">
        <f>IF(Invoices[[#This Row],[New Unit Price]]&lt;0,"Return",
IF(Invoices[[#This Row],[New Unit Price]]=0,"Free",IF(Invoices[[#This Row],[New Unit Price]]&lt;100,"Basic","Premium")))</f>
        <v>Free</v>
      </c>
      <c r="N66">
        <f>VLOOKUP(Invoices[[#This Row],[Part  '#]],Products[],4,0)</f>
        <v>89.7</v>
      </c>
      <c r="O66" t="str">
        <f>VLOOKUP(Invoices[[#This Row],[Customer Account]],Customers[],4,0)</f>
        <v>Financial</v>
      </c>
      <c r="P66" t="str">
        <f>VLOOKUP(Invoices[[#This Row],[Customer Account]],Customers[],3,0)</f>
        <v>Georgia</v>
      </c>
      <c r="Q66" t="str">
        <f>VLOOKUP(Invoices[[#This Row],[Part  '#]],Products[],3,0)</f>
        <v>Accessories</v>
      </c>
      <c r="R66" s="25">
        <f>Invoices[[#This Row],[Quantity]]*Invoices[[#This Row],[Unit Cost]]</f>
        <v>448.5</v>
      </c>
      <c r="S66" s="25">
        <f>Invoices[[#This Row],[Quantity]]*Invoices[[#This Row],[New Unit Price]]</f>
        <v>0</v>
      </c>
      <c r="T66" s="25">
        <f>Invoices[[#This Row],[Revenue]]-Invoices[[#This Row],[Cost]]</f>
        <v>-448.5</v>
      </c>
      <c r="U66" s="25" t="str">
        <f>TEXT(Invoices[[#This Row],[Date]],"MMM")</f>
        <v>Mar</v>
      </c>
      <c r="V66" s="29">
        <f>CHOOSE(MONTH(Invoices[[#This Row],[Date]]),1,1,1,2,2,2,3,3,3,4,4,4)</f>
        <v>1</v>
      </c>
      <c r="W66" s="30">
        <f>IFERROR(Invoices[[#This Row],[Profit]]/Invoices[[#This Row],[Revenue]],0)</f>
        <v>0</v>
      </c>
    </row>
    <row r="67" spans="1:23" x14ac:dyDescent="0.3">
      <c r="A67" s="19" t="s">
        <v>5</v>
      </c>
      <c r="B67" s="4">
        <v>22824</v>
      </c>
      <c r="C67" s="15">
        <v>41348</v>
      </c>
      <c r="D67" s="9">
        <v>109</v>
      </c>
      <c r="E67" s="10" t="s">
        <v>74</v>
      </c>
      <c r="F67" s="8">
        <v>1</v>
      </c>
      <c r="G67" s="10"/>
      <c r="H67" s="4" t="s">
        <v>90</v>
      </c>
      <c r="I67" s="4" t="s">
        <v>88</v>
      </c>
      <c r="J67" s="4">
        <v>1</v>
      </c>
      <c r="K67" s="23">
        <v>500</v>
      </c>
      <c r="L67">
        <f>IF(Invoices[[#This Row],[Document Type]]="Return",Invoices[[#This Row],[Unit Price]]*-1,Invoices[[#This Row],[Unit Price]])</f>
        <v>500</v>
      </c>
      <c r="M67" t="str">
        <f>IF(Invoices[[#This Row],[New Unit Price]]&lt;0,"Return",
IF(Invoices[[#This Row],[New Unit Price]]=0,"Free",IF(Invoices[[#This Row],[New Unit Price]]&lt;100,"Basic","Premium")))</f>
        <v>Premium</v>
      </c>
      <c r="N67">
        <f>VLOOKUP(Invoices[[#This Row],[Part  '#]],Products[],4,0)</f>
        <v>295.10000000000002</v>
      </c>
      <c r="O67" t="str">
        <f>VLOOKUP(Invoices[[#This Row],[Customer Account]],Customers[],4,0)</f>
        <v>Financial</v>
      </c>
      <c r="P67" t="str">
        <f>VLOOKUP(Invoices[[#This Row],[Customer Account]],Customers[],3,0)</f>
        <v>Georgia</v>
      </c>
      <c r="Q67" t="str">
        <f>VLOOKUP(Invoices[[#This Row],[Part  '#]],Products[],3,0)</f>
        <v>Product</v>
      </c>
      <c r="R67" s="25">
        <f>Invoices[[#This Row],[Quantity]]*Invoices[[#This Row],[Unit Cost]]</f>
        <v>295.10000000000002</v>
      </c>
      <c r="S67" s="25">
        <f>Invoices[[#This Row],[Quantity]]*Invoices[[#This Row],[New Unit Price]]</f>
        <v>500</v>
      </c>
      <c r="T67" s="25">
        <f>Invoices[[#This Row],[Revenue]]-Invoices[[#This Row],[Cost]]</f>
        <v>204.89999999999998</v>
      </c>
      <c r="U67" s="25" t="str">
        <f>TEXT(Invoices[[#This Row],[Date]],"MMM")</f>
        <v>Mar</v>
      </c>
      <c r="V67" s="29">
        <f>CHOOSE(MONTH(Invoices[[#This Row],[Date]]),1,1,1,2,2,2,3,3,3,4,4,4)</f>
        <v>1</v>
      </c>
      <c r="W67" s="30">
        <f>IFERROR(Invoices[[#This Row],[Profit]]/Invoices[[#This Row],[Revenue]],0)</f>
        <v>0.40979999999999994</v>
      </c>
    </row>
    <row r="68" spans="1:23" x14ac:dyDescent="0.3">
      <c r="A68" s="19" t="s">
        <v>5</v>
      </c>
      <c r="B68" s="4">
        <v>22824</v>
      </c>
      <c r="C68" s="15">
        <v>41348</v>
      </c>
      <c r="D68" s="9">
        <v>109</v>
      </c>
      <c r="E68" s="10" t="s">
        <v>74</v>
      </c>
      <c r="F68" s="8">
        <v>2</v>
      </c>
      <c r="G68" s="10"/>
      <c r="H68" s="4" t="s">
        <v>109</v>
      </c>
      <c r="I68" s="4" t="s">
        <v>24</v>
      </c>
      <c r="J68" s="4">
        <v>1</v>
      </c>
      <c r="K68" s="23">
        <v>25</v>
      </c>
      <c r="L68">
        <f>IF(Invoices[[#This Row],[Document Type]]="Return",Invoices[[#This Row],[Unit Price]]*-1,Invoices[[#This Row],[Unit Price]])</f>
        <v>25</v>
      </c>
      <c r="M68" t="str">
        <f>IF(Invoices[[#This Row],[New Unit Price]]&lt;0,"Return",
IF(Invoices[[#This Row],[New Unit Price]]=0,"Free",IF(Invoices[[#This Row],[New Unit Price]]&lt;100,"Basic","Premium")))</f>
        <v>Basic</v>
      </c>
      <c r="N68">
        <f>VLOOKUP(Invoices[[#This Row],[Part  '#]],Products[],4,0)</f>
        <v>12.17</v>
      </c>
      <c r="O68" t="str">
        <f>VLOOKUP(Invoices[[#This Row],[Customer Account]],Customers[],4,0)</f>
        <v>Financial</v>
      </c>
      <c r="P68" t="str">
        <f>VLOOKUP(Invoices[[#This Row],[Customer Account]],Customers[],3,0)</f>
        <v>Georgia</v>
      </c>
      <c r="Q68" t="str">
        <f>VLOOKUP(Invoices[[#This Row],[Part  '#]],Products[],3,0)</f>
        <v>Accessories</v>
      </c>
      <c r="R68" s="25">
        <f>Invoices[[#This Row],[Quantity]]*Invoices[[#This Row],[Unit Cost]]</f>
        <v>12.17</v>
      </c>
      <c r="S68" s="25">
        <f>Invoices[[#This Row],[Quantity]]*Invoices[[#This Row],[New Unit Price]]</f>
        <v>25</v>
      </c>
      <c r="T68" s="25">
        <f>Invoices[[#This Row],[Revenue]]-Invoices[[#This Row],[Cost]]</f>
        <v>12.83</v>
      </c>
      <c r="U68" s="25" t="str">
        <f>TEXT(Invoices[[#This Row],[Date]],"MMM")</f>
        <v>Mar</v>
      </c>
      <c r="V68" s="29">
        <f>CHOOSE(MONTH(Invoices[[#This Row],[Date]]),1,1,1,2,2,2,3,3,3,4,4,4)</f>
        <v>1</v>
      </c>
      <c r="W68" s="30">
        <f>IFERROR(Invoices[[#This Row],[Profit]]/Invoices[[#This Row],[Revenue]],0)</f>
        <v>0.51319999999999999</v>
      </c>
    </row>
    <row r="69" spans="1:23" x14ac:dyDescent="0.3">
      <c r="A69" s="19" t="s">
        <v>5</v>
      </c>
      <c r="B69" s="4">
        <v>22824</v>
      </c>
      <c r="C69" s="15">
        <v>41348</v>
      </c>
      <c r="D69" s="9">
        <v>109</v>
      </c>
      <c r="E69" s="10" t="s">
        <v>74</v>
      </c>
      <c r="F69" s="8">
        <v>3</v>
      </c>
      <c r="G69" s="10"/>
      <c r="H69" s="4" t="s">
        <v>116</v>
      </c>
      <c r="I69" s="4" t="s">
        <v>32</v>
      </c>
      <c r="J69" s="4">
        <v>1</v>
      </c>
      <c r="K69" s="23">
        <v>20</v>
      </c>
      <c r="L69">
        <f>IF(Invoices[[#This Row],[Document Type]]="Return",Invoices[[#This Row],[Unit Price]]*-1,Invoices[[#This Row],[Unit Price]])</f>
        <v>20</v>
      </c>
      <c r="M69" t="str">
        <f>IF(Invoices[[#This Row],[New Unit Price]]&lt;0,"Return",
IF(Invoices[[#This Row],[New Unit Price]]=0,"Free",IF(Invoices[[#This Row],[New Unit Price]]&lt;100,"Basic","Premium")))</f>
        <v>Basic</v>
      </c>
      <c r="N69">
        <f>VLOOKUP(Invoices[[#This Row],[Part  '#]],Products[],4,0)</f>
        <v>8.15</v>
      </c>
      <c r="O69" t="str">
        <f>VLOOKUP(Invoices[[#This Row],[Customer Account]],Customers[],4,0)</f>
        <v>Financial</v>
      </c>
      <c r="P69" t="str">
        <f>VLOOKUP(Invoices[[#This Row],[Customer Account]],Customers[],3,0)</f>
        <v>Georgia</v>
      </c>
      <c r="Q69" t="str">
        <f>VLOOKUP(Invoices[[#This Row],[Part  '#]],Products[],3,0)</f>
        <v>Accessories</v>
      </c>
      <c r="R69" s="25">
        <f>Invoices[[#This Row],[Quantity]]*Invoices[[#This Row],[Unit Cost]]</f>
        <v>8.15</v>
      </c>
      <c r="S69" s="25">
        <f>Invoices[[#This Row],[Quantity]]*Invoices[[#This Row],[New Unit Price]]</f>
        <v>20</v>
      </c>
      <c r="T69" s="25">
        <f>Invoices[[#This Row],[Revenue]]-Invoices[[#This Row],[Cost]]</f>
        <v>11.85</v>
      </c>
      <c r="U69" s="25" t="str">
        <f>TEXT(Invoices[[#This Row],[Date]],"MMM")</f>
        <v>Mar</v>
      </c>
      <c r="V69" s="29">
        <f>CHOOSE(MONTH(Invoices[[#This Row],[Date]]),1,1,1,2,2,2,3,3,3,4,4,4)</f>
        <v>1</v>
      </c>
      <c r="W69" s="30">
        <f>IFERROR(Invoices[[#This Row],[Profit]]/Invoices[[#This Row],[Revenue]],0)</f>
        <v>0.59250000000000003</v>
      </c>
    </row>
    <row r="70" spans="1:23" x14ac:dyDescent="0.3">
      <c r="A70" s="19" t="s">
        <v>5</v>
      </c>
      <c r="B70" s="4">
        <v>22824</v>
      </c>
      <c r="C70" s="15">
        <v>41348</v>
      </c>
      <c r="D70" s="9">
        <v>109</v>
      </c>
      <c r="E70" s="10" t="s">
        <v>74</v>
      </c>
      <c r="F70" s="8">
        <v>4</v>
      </c>
      <c r="G70" s="10"/>
      <c r="H70" s="4" t="s">
        <v>118</v>
      </c>
      <c r="I70" s="4" t="s">
        <v>42</v>
      </c>
      <c r="J70" s="4">
        <v>1</v>
      </c>
      <c r="K70" s="23">
        <v>40</v>
      </c>
      <c r="L70">
        <f>IF(Invoices[[#This Row],[Document Type]]="Return",Invoices[[#This Row],[Unit Price]]*-1,Invoices[[#This Row],[Unit Price]])</f>
        <v>40</v>
      </c>
      <c r="M70" t="str">
        <f>IF(Invoices[[#This Row],[New Unit Price]]&lt;0,"Return",
IF(Invoices[[#This Row],[New Unit Price]]=0,"Free",IF(Invoices[[#This Row],[New Unit Price]]&lt;100,"Basic","Premium")))</f>
        <v>Basic</v>
      </c>
      <c r="N70">
        <f>VLOOKUP(Invoices[[#This Row],[Part  '#]],Products[],4,0)</f>
        <v>12.33</v>
      </c>
      <c r="O70" t="str">
        <f>VLOOKUP(Invoices[[#This Row],[Customer Account]],Customers[],4,0)</f>
        <v>Financial</v>
      </c>
      <c r="P70" t="str">
        <f>VLOOKUP(Invoices[[#This Row],[Customer Account]],Customers[],3,0)</f>
        <v>Georgia</v>
      </c>
      <c r="Q70" t="str">
        <f>VLOOKUP(Invoices[[#This Row],[Part  '#]],Products[],3,0)</f>
        <v>Accessories</v>
      </c>
      <c r="R70" s="25">
        <f>Invoices[[#This Row],[Quantity]]*Invoices[[#This Row],[Unit Cost]]</f>
        <v>12.33</v>
      </c>
      <c r="S70" s="25">
        <f>Invoices[[#This Row],[Quantity]]*Invoices[[#This Row],[New Unit Price]]</f>
        <v>40</v>
      </c>
      <c r="T70" s="25">
        <f>Invoices[[#This Row],[Revenue]]-Invoices[[#This Row],[Cost]]</f>
        <v>27.67</v>
      </c>
      <c r="U70" s="25" t="str">
        <f>TEXT(Invoices[[#This Row],[Date]],"MMM")</f>
        <v>Mar</v>
      </c>
      <c r="V70" s="29">
        <f>CHOOSE(MONTH(Invoices[[#This Row],[Date]]),1,1,1,2,2,2,3,3,3,4,4,4)</f>
        <v>1</v>
      </c>
      <c r="W70" s="30">
        <f>IFERROR(Invoices[[#This Row],[Profit]]/Invoices[[#This Row],[Revenue]],0)</f>
        <v>0.69175000000000009</v>
      </c>
    </row>
    <row r="71" spans="1:23" x14ac:dyDescent="0.3">
      <c r="A71" s="19" t="s">
        <v>5</v>
      </c>
      <c r="B71" s="4">
        <v>22824</v>
      </c>
      <c r="C71" s="15">
        <v>41348</v>
      </c>
      <c r="D71" s="9">
        <v>109</v>
      </c>
      <c r="E71" s="10" t="s">
        <v>74</v>
      </c>
      <c r="F71" s="8">
        <v>5</v>
      </c>
      <c r="G71" s="10"/>
      <c r="H71" s="4" t="s">
        <v>123</v>
      </c>
      <c r="I71" s="4" t="s">
        <v>38</v>
      </c>
      <c r="J71" s="4">
        <v>1</v>
      </c>
      <c r="K71" s="23">
        <v>20</v>
      </c>
      <c r="L71">
        <f>IF(Invoices[[#This Row],[Document Type]]="Return",Invoices[[#This Row],[Unit Price]]*-1,Invoices[[#This Row],[Unit Price]])</f>
        <v>20</v>
      </c>
      <c r="M71" t="str">
        <f>IF(Invoices[[#This Row],[New Unit Price]]&lt;0,"Return",
IF(Invoices[[#This Row],[New Unit Price]]=0,"Free",IF(Invoices[[#This Row],[New Unit Price]]&lt;100,"Basic","Premium")))</f>
        <v>Basic</v>
      </c>
      <c r="N71">
        <f>VLOOKUP(Invoices[[#This Row],[Part  '#]],Products[],4,0)</f>
        <v>4.58</v>
      </c>
      <c r="O71" t="str">
        <f>VLOOKUP(Invoices[[#This Row],[Customer Account]],Customers[],4,0)</f>
        <v>Financial</v>
      </c>
      <c r="P71" t="str">
        <f>VLOOKUP(Invoices[[#This Row],[Customer Account]],Customers[],3,0)</f>
        <v>Georgia</v>
      </c>
      <c r="Q71" t="str">
        <f>VLOOKUP(Invoices[[#This Row],[Part  '#]],Products[],3,0)</f>
        <v>Consumables</v>
      </c>
      <c r="R71" s="25">
        <f>Invoices[[#This Row],[Quantity]]*Invoices[[#This Row],[Unit Cost]]</f>
        <v>4.58</v>
      </c>
      <c r="S71" s="25">
        <f>Invoices[[#This Row],[Quantity]]*Invoices[[#This Row],[New Unit Price]]</f>
        <v>20</v>
      </c>
      <c r="T71" s="25">
        <f>Invoices[[#This Row],[Revenue]]-Invoices[[#This Row],[Cost]]</f>
        <v>15.42</v>
      </c>
      <c r="U71" s="25" t="str">
        <f>TEXT(Invoices[[#This Row],[Date]],"MMM")</f>
        <v>Mar</v>
      </c>
      <c r="V71" s="29">
        <f>CHOOSE(MONTH(Invoices[[#This Row],[Date]]),1,1,1,2,2,2,3,3,3,4,4,4)</f>
        <v>1</v>
      </c>
      <c r="W71" s="30">
        <f>IFERROR(Invoices[[#This Row],[Profit]]/Invoices[[#This Row],[Revenue]],0)</f>
        <v>0.77100000000000002</v>
      </c>
    </row>
    <row r="72" spans="1:23" x14ac:dyDescent="0.3">
      <c r="A72" s="19" t="s">
        <v>5</v>
      </c>
      <c r="B72" s="4">
        <v>22825</v>
      </c>
      <c r="C72" s="15">
        <v>41356</v>
      </c>
      <c r="D72" s="9">
        <v>115</v>
      </c>
      <c r="E72" s="10" t="s">
        <v>83</v>
      </c>
      <c r="F72" s="8">
        <v>1</v>
      </c>
      <c r="G72" s="10"/>
      <c r="H72" s="4" t="s">
        <v>93</v>
      </c>
      <c r="I72" s="4" t="s">
        <v>37</v>
      </c>
      <c r="J72" s="4">
        <v>2</v>
      </c>
      <c r="K72" s="23">
        <v>1800</v>
      </c>
      <c r="L72">
        <f>IF(Invoices[[#This Row],[Document Type]]="Return",Invoices[[#This Row],[Unit Price]]*-1,Invoices[[#This Row],[Unit Price]])</f>
        <v>1800</v>
      </c>
      <c r="M72" t="str">
        <f>IF(Invoices[[#This Row],[New Unit Price]]&lt;0,"Return",
IF(Invoices[[#This Row],[New Unit Price]]=0,"Free",IF(Invoices[[#This Row],[New Unit Price]]&lt;100,"Basic","Premium")))</f>
        <v>Premium</v>
      </c>
      <c r="N72">
        <f>VLOOKUP(Invoices[[#This Row],[Part  '#]],Products[],4,0)</f>
        <v>1050.3800000000001</v>
      </c>
      <c r="O72" t="str">
        <f>VLOOKUP(Invoices[[#This Row],[Customer Account]],Customers[],4,0)</f>
        <v>Automotive</v>
      </c>
      <c r="P72" t="str">
        <f>VLOOKUP(Invoices[[#This Row],[Customer Account]],Customers[],3,0)</f>
        <v>Tennessee</v>
      </c>
      <c r="Q72" t="str">
        <f>VLOOKUP(Invoices[[#This Row],[Part  '#]],Products[],3,0)</f>
        <v>Product</v>
      </c>
      <c r="R72" s="25">
        <f>Invoices[[#This Row],[Quantity]]*Invoices[[#This Row],[Unit Cost]]</f>
        <v>2100.7600000000002</v>
      </c>
      <c r="S72" s="25">
        <f>Invoices[[#This Row],[Quantity]]*Invoices[[#This Row],[New Unit Price]]</f>
        <v>3600</v>
      </c>
      <c r="T72" s="25">
        <f>Invoices[[#This Row],[Revenue]]-Invoices[[#This Row],[Cost]]</f>
        <v>1499.2399999999998</v>
      </c>
      <c r="U72" s="25" t="str">
        <f>TEXT(Invoices[[#This Row],[Date]],"MMM")</f>
        <v>Mar</v>
      </c>
      <c r="V72" s="29">
        <f>CHOOSE(MONTH(Invoices[[#This Row],[Date]]),1,1,1,2,2,2,3,3,3,4,4,4)</f>
        <v>1</v>
      </c>
      <c r="W72" s="30">
        <f>IFERROR(Invoices[[#This Row],[Profit]]/Invoices[[#This Row],[Revenue]],0)</f>
        <v>0.41645555555555547</v>
      </c>
    </row>
    <row r="73" spans="1:23" x14ac:dyDescent="0.3">
      <c r="A73" s="19" t="s">
        <v>5</v>
      </c>
      <c r="B73" s="4">
        <v>22825</v>
      </c>
      <c r="C73" s="15">
        <v>41356</v>
      </c>
      <c r="D73" s="9">
        <v>115</v>
      </c>
      <c r="E73" s="10" t="s">
        <v>83</v>
      </c>
      <c r="F73" s="8">
        <v>2</v>
      </c>
      <c r="G73" s="10"/>
      <c r="H73" s="4" t="s">
        <v>110</v>
      </c>
      <c r="I73" s="4" t="s">
        <v>25</v>
      </c>
      <c r="J73" s="4">
        <v>2</v>
      </c>
      <c r="K73" s="23">
        <v>35</v>
      </c>
      <c r="L73">
        <f>IF(Invoices[[#This Row],[Document Type]]="Return",Invoices[[#This Row],[Unit Price]]*-1,Invoices[[#This Row],[Unit Price]])</f>
        <v>35</v>
      </c>
      <c r="M73" t="str">
        <f>IF(Invoices[[#This Row],[New Unit Price]]&lt;0,"Return",
IF(Invoices[[#This Row],[New Unit Price]]=0,"Free",IF(Invoices[[#This Row],[New Unit Price]]&lt;100,"Basic","Premium")))</f>
        <v>Basic</v>
      </c>
      <c r="N73">
        <f>VLOOKUP(Invoices[[#This Row],[Part  '#]],Products[],4,0)</f>
        <v>13.79</v>
      </c>
      <c r="O73" t="str">
        <f>VLOOKUP(Invoices[[#This Row],[Customer Account]],Customers[],4,0)</f>
        <v>Automotive</v>
      </c>
      <c r="P73" t="str">
        <f>VLOOKUP(Invoices[[#This Row],[Customer Account]],Customers[],3,0)</f>
        <v>Tennessee</v>
      </c>
      <c r="Q73" t="str">
        <f>VLOOKUP(Invoices[[#This Row],[Part  '#]],Products[],3,0)</f>
        <v>Accessories</v>
      </c>
      <c r="R73" s="25">
        <f>Invoices[[#This Row],[Quantity]]*Invoices[[#This Row],[Unit Cost]]</f>
        <v>27.58</v>
      </c>
      <c r="S73" s="25">
        <f>Invoices[[#This Row],[Quantity]]*Invoices[[#This Row],[New Unit Price]]</f>
        <v>70</v>
      </c>
      <c r="T73" s="25">
        <f>Invoices[[#This Row],[Revenue]]-Invoices[[#This Row],[Cost]]</f>
        <v>42.42</v>
      </c>
      <c r="U73" s="25" t="str">
        <f>TEXT(Invoices[[#This Row],[Date]],"MMM")</f>
        <v>Mar</v>
      </c>
      <c r="V73" s="29">
        <f>CHOOSE(MONTH(Invoices[[#This Row],[Date]]),1,1,1,2,2,2,3,3,3,4,4,4)</f>
        <v>1</v>
      </c>
      <c r="W73" s="30">
        <f>IFERROR(Invoices[[#This Row],[Profit]]/Invoices[[#This Row],[Revenue]],0)</f>
        <v>0.60599999999999998</v>
      </c>
    </row>
    <row r="74" spans="1:23" x14ac:dyDescent="0.3">
      <c r="A74" s="19" t="s">
        <v>5</v>
      </c>
      <c r="B74" s="4">
        <v>22825</v>
      </c>
      <c r="C74" s="15">
        <v>41356</v>
      </c>
      <c r="D74" s="9">
        <v>115</v>
      </c>
      <c r="E74" s="10" t="s">
        <v>83</v>
      </c>
      <c r="F74" s="8">
        <v>3</v>
      </c>
      <c r="G74" s="10"/>
      <c r="H74" s="4" t="s">
        <v>117</v>
      </c>
      <c r="I74" s="4" t="s">
        <v>33</v>
      </c>
      <c r="J74" s="4">
        <v>2</v>
      </c>
      <c r="K74" s="23">
        <v>30</v>
      </c>
      <c r="L74">
        <f>IF(Invoices[[#This Row],[Document Type]]="Return",Invoices[[#This Row],[Unit Price]]*-1,Invoices[[#This Row],[Unit Price]])</f>
        <v>30</v>
      </c>
      <c r="M74" t="str">
        <f>IF(Invoices[[#This Row],[New Unit Price]]&lt;0,"Return",
IF(Invoices[[#This Row],[New Unit Price]]=0,"Free",IF(Invoices[[#This Row],[New Unit Price]]&lt;100,"Basic","Premium")))</f>
        <v>Basic</v>
      </c>
      <c r="N74">
        <f>VLOOKUP(Invoices[[#This Row],[Part  '#]],Products[],4,0)</f>
        <v>11.59</v>
      </c>
      <c r="O74" t="str">
        <f>VLOOKUP(Invoices[[#This Row],[Customer Account]],Customers[],4,0)</f>
        <v>Automotive</v>
      </c>
      <c r="P74" t="str">
        <f>VLOOKUP(Invoices[[#This Row],[Customer Account]],Customers[],3,0)</f>
        <v>Tennessee</v>
      </c>
      <c r="Q74" t="str">
        <f>VLOOKUP(Invoices[[#This Row],[Part  '#]],Products[],3,0)</f>
        <v>Accessories</v>
      </c>
      <c r="R74" s="25">
        <f>Invoices[[#This Row],[Quantity]]*Invoices[[#This Row],[Unit Cost]]</f>
        <v>23.18</v>
      </c>
      <c r="S74" s="25">
        <f>Invoices[[#This Row],[Quantity]]*Invoices[[#This Row],[New Unit Price]]</f>
        <v>60</v>
      </c>
      <c r="T74" s="25">
        <f>Invoices[[#This Row],[Revenue]]-Invoices[[#This Row],[Cost]]</f>
        <v>36.82</v>
      </c>
      <c r="U74" s="25" t="str">
        <f>TEXT(Invoices[[#This Row],[Date]],"MMM")</f>
        <v>Mar</v>
      </c>
      <c r="V74" s="29">
        <f>CHOOSE(MONTH(Invoices[[#This Row],[Date]]),1,1,1,2,2,2,3,3,3,4,4,4)</f>
        <v>1</v>
      </c>
      <c r="W74" s="30">
        <f>IFERROR(Invoices[[#This Row],[Profit]]/Invoices[[#This Row],[Revenue]],0)</f>
        <v>0.61366666666666669</v>
      </c>
    </row>
    <row r="75" spans="1:23" x14ac:dyDescent="0.3">
      <c r="A75" s="19" t="s">
        <v>5</v>
      </c>
      <c r="B75" s="4">
        <v>22825</v>
      </c>
      <c r="C75" s="15">
        <v>41356</v>
      </c>
      <c r="D75" s="9">
        <v>115</v>
      </c>
      <c r="E75" s="10" t="s">
        <v>83</v>
      </c>
      <c r="F75" s="8">
        <v>4</v>
      </c>
      <c r="G75" s="10"/>
      <c r="H75" s="4" t="s">
        <v>119</v>
      </c>
      <c r="I75" s="4" t="s">
        <v>43</v>
      </c>
      <c r="J75" s="4">
        <v>2</v>
      </c>
      <c r="K75" s="23">
        <v>60</v>
      </c>
      <c r="L75">
        <f>IF(Invoices[[#This Row],[Document Type]]="Return",Invoices[[#This Row],[Unit Price]]*-1,Invoices[[#This Row],[Unit Price]])</f>
        <v>60</v>
      </c>
      <c r="M75" t="str">
        <f>IF(Invoices[[#This Row],[New Unit Price]]&lt;0,"Return",
IF(Invoices[[#This Row],[New Unit Price]]=0,"Free",IF(Invoices[[#This Row],[New Unit Price]]&lt;100,"Basic","Premium")))</f>
        <v>Basic</v>
      </c>
      <c r="N75">
        <f>VLOOKUP(Invoices[[#This Row],[Part  '#]],Products[],4,0)</f>
        <v>17.22</v>
      </c>
      <c r="O75" t="str">
        <f>VLOOKUP(Invoices[[#This Row],[Customer Account]],Customers[],4,0)</f>
        <v>Automotive</v>
      </c>
      <c r="P75" t="str">
        <f>VLOOKUP(Invoices[[#This Row],[Customer Account]],Customers[],3,0)</f>
        <v>Tennessee</v>
      </c>
      <c r="Q75" t="str">
        <f>VLOOKUP(Invoices[[#This Row],[Part  '#]],Products[],3,0)</f>
        <v>Accessories</v>
      </c>
      <c r="R75" s="25">
        <f>Invoices[[#This Row],[Quantity]]*Invoices[[#This Row],[Unit Cost]]</f>
        <v>34.44</v>
      </c>
      <c r="S75" s="25">
        <f>Invoices[[#This Row],[Quantity]]*Invoices[[#This Row],[New Unit Price]]</f>
        <v>120</v>
      </c>
      <c r="T75" s="25">
        <f>Invoices[[#This Row],[Revenue]]-Invoices[[#This Row],[Cost]]</f>
        <v>85.56</v>
      </c>
      <c r="U75" s="25" t="str">
        <f>TEXT(Invoices[[#This Row],[Date]],"MMM")</f>
        <v>Mar</v>
      </c>
      <c r="V75" s="29">
        <f>CHOOSE(MONTH(Invoices[[#This Row],[Date]]),1,1,1,2,2,2,3,3,3,4,4,4)</f>
        <v>1</v>
      </c>
      <c r="W75" s="30">
        <f>IFERROR(Invoices[[#This Row],[Profit]]/Invoices[[#This Row],[Revenue]],0)</f>
        <v>0.71299999999999997</v>
      </c>
    </row>
    <row r="76" spans="1:23" x14ac:dyDescent="0.3">
      <c r="A76" s="19" t="s">
        <v>5</v>
      </c>
      <c r="B76" s="4">
        <v>22825</v>
      </c>
      <c r="C76" s="15">
        <v>41356</v>
      </c>
      <c r="D76" s="9">
        <v>115</v>
      </c>
      <c r="E76" s="10" t="s">
        <v>83</v>
      </c>
      <c r="F76" s="8">
        <v>5</v>
      </c>
      <c r="G76" s="10"/>
      <c r="H76" s="4" t="s">
        <v>124</v>
      </c>
      <c r="I76" s="4" t="s">
        <v>39</v>
      </c>
      <c r="J76" s="4">
        <v>20</v>
      </c>
      <c r="K76" s="23">
        <v>35</v>
      </c>
      <c r="L76">
        <f>IF(Invoices[[#This Row],[Document Type]]="Return",Invoices[[#This Row],[Unit Price]]*-1,Invoices[[#This Row],[Unit Price]])</f>
        <v>35</v>
      </c>
      <c r="M76" t="str">
        <f>IF(Invoices[[#This Row],[New Unit Price]]&lt;0,"Return",
IF(Invoices[[#This Row],[New Unit Price]]=0,"Free",IF(Invoices[[#This Row],[New Unit Price]]&lt;100,"Basic","Premium")))</f>
        <v>Basic</v>
      </c>
      <c r="N76">
        <f>VLOOKUP(Invoices[[#This Row],[Part  '#]],Products[],4,0)</f>
        <v>6.37</v>
      </c>
      <c r="O76" t="str">
        <f>VLOOKUP(Invoices[[#This Row],[Customer Account]],Customers[],4,0)</f>
        <v>Automotive</v>
      </c>
      <c r="P76" t="str">
        <f>VLOOKUP(Invoices[[#This Row],[Customer Account]],Customers[],3,0)</f>
        <v>Tennessee</v>
      </c>
      <c r="Q76" t="str">
        <f>VLOOKUP(Invoices[[#This Row],[Part  '#]],Products[],3,0)</f>
        <v>Consumables</v>
      </c>
      <c r="R76" s="25">
        <f>Invoices[[#This Row],[Quantity]]*Invoices[[#This Row],[Unit Cost]]</f>
        <v>127.4</v>
      </c>
      <c r="S76" s="25">
        <f>Invoices[[#This Row],[Quantity]]*Invoices[[#This Row],[New Unit Price]]</f>
        <v>700</v>
      </c>
      <c r="T76" s="25">
        <f>Invoices[[#This Row],[Revenue]]-Invoices[[#This Row],[Cost]]</f>
        <v>572.6</v>
      </c>
      <c r="U76" s="25" t="str">
        <f>TEXT(Invoices[[#This Row],[Date]],"MMM")</f>
        <v>Mar</v>
      </c>
      <c r="V76" s="29">
        <f>CHOOSE(MONTH(Invoices[[#This Row],[Date]]),1,1,1,2,2,2,3,3,3,4,4,4)</f>
        <v>1</v>
      </c>
      <c r="W76" s="30">
        <f>IFERROR(Invoices[[#This Row],[Profit]]/Invoices[[#This Row],[Revenue]],0)</f>
        <v>0.81800000000000006</v>
      </c>
    </row>
    <row r="77" spans="1:23" x14ac:dyDescent="0.3">
      <c r="A77" s="19" t="s">
        <v>5</v>
      </c>
      <c r="B77" s="4">
        <v>22826</v>
      </c>
      <c r="C77" s="15">
        <v>41365</v>
      </c>
      <c r="D77" s="9">
        <v>101</v>
      </c>
      <c r="E77" s="10" t="s">
        <v>61</v>
      </c>
      <c r="F77" s="8">
        <v>1</v>
      </c>
      <c r="G77" s="10"/>
      <c r="H77" s="4" t="s">
        <v>125</v>
      </c>
      <c r="I77" s="4" t="s">
        <v>40</v>
      </c>
      <c r="J77" s="4">
        <v>120</v>
      </c>
      <c r="K77" s="23">
        <v>24</v>
      </c>
      <c r="L77">
        <f>IF(Invoices[[#This Row],[Document Type]]="Return",Invoices[[#This Row],[Unit Price]]*-1,Invoices[[#This Row],[Unit Price]])</f>
        <v>24</v>
      </c>
      <c r="M77" t="str">
        <f>IF(Invoices[[#This Row],[New Unit Price]]&lt;0,"Return",
IF(Invoices[[#This Row],[New Unit Price]]=0,"Free",IF(Invoices[[#This Row],[New Unit Price]]&lt;100,"Basic","Premium")))</f>
        <v>Basic</v>
      </c>
      <c r="N77">
        <f>VLOOKUP(Invoices[[#This Row],[Part  '#]],Products[],4,0)</f>
        <v>6.9</v>
      </c>
      <c r="O77" t="str">
        <f>VLOOKUP(Invoices[[#This Row],[Customer Account]],Customers[],4,0)</f>
        <v>Automotive</v>
      </c>
      <c r="P77" t="str">
        <f>VLOOKUP(Invoices[[#This Row],[Customer Account]],Customers[],3,0)</f>
        <v>Georgia</v>
      </c>
      <c r="Q77" t="str">
        <f>VLOOKUP(Invoices[[#This Row],[Part  '#]],Products[],3,0)</f>
        <v>Consumables</v>
      </c>
      <c r="R77" s="25">
        <f>Invoices[[#This Row],[Quantity]]*Invoices[[#This Row],[Unit Cost]]</f>
        <v>828</v>
      </c>
      <c r="S77" s="25">
        <f>Invoices[[#This Row],[Quantity]]*Invoices[[#This Row],[New Unit Price]]</f>
        <v>2880</v>
      </c>
      <c r="T77" s="25">
        <f>Invoices[[#This Row],[Revenue]]-Invoices[[#This Row],[Cost]]</f>
        <v>2052</v>
      </c>
      <c r="U77" s="25" t="str">
        <f>TEXT(Invoices[[#This Row],[Date]],"MMM")</f>
        <v>Apr</v>
      </c>
      <c r="V77" s="29">
        <f>CHOOSE(MONTH(Invoices[[#This Row],[Date]]),1,1,1,2,2,2,3,3,3,4,4,4)</f>
        <v>2</v>
      </c>
      <c r="W77" s="30">
        <f>IFERROR(Invoices[[#This Row],[Profit]]/Invoices[[#This Row],[Revenue]],0)</f>
        <v>0.71250000000000002</v>
      </c>
    </row>
    <row r="78" spans="1:23" x14ac:dyDescent="0.3">
      <c r="A78" s="19" t="s">
        <v>5</v>
      </c>
      <c r="B78" s="4">
        <v>22826</v>
      </c>
      <c r="C78" s="15">
        <v>41365</v>
      </c>
      <c r="D78" s="9">
        <v>101</v>
      </c>
      <c r="E78" s="10" t="s">
        <v>61</v>
      </c>
      <c r="F78" s="8">
        <v>2</v>
      </c>
      <c r="G78" s="10"/>
      <c r="H78" s="4" t="s">
        <v>132</v>
      </c>
      <c r="I78" s="4" t="s">
        <v>49</v>
      </c>
      <c r="J78" s="4">
        <v>12</v>
      </c>
      <c r="K78" s="23">
        <v>70</v>
      </c>
      <c r="L78">
        <f>IF(Invoices[[#This Row],[Document Type]]="Return",Invoices[[#This Row],[Unit Price]]*-1,Invoices[[#This Row],[Unit Price]])</f>
        <v>70</v>
      </c>
      <c r="M78" t="str">
        <f>IF(Invoices[[#This Row],[New Unit Price]]&lt;0,"Return",
IF(Invoices[[#This Row],[New Unit Price]]=0,"Free",IF(Invoices[[#This Row],[New Unit Price]]&lt;100,"Basic","Premium")))</f>
        <v>Basic</v>
      </c>
      <c r="N78">
        <f>VLOOKUP(Invoices[[#This Row],[Part  '#]],Products[],4,0)</f>
        <v>13.92</v>
      </c>
      <c r="O78" t="str">
        <f>VLOOKUP(Invoices[[#This Row],[Customer Account]],Customers[],4,0)</f>
        <v>Automotive</v>
      </c>
      <c r="P78" t="str">
        <f>VLOOKUP(Invoices[[#This Row],[Customer Account]],Customers[],3,0)</f>
        <v>Georgia</v>
      </c>
      <c r="Q78" t="str">
        <f>VLOOKUP(Invoices[[#This Row],[Part  '#]],Products[],3,0)</f>
        <v>Consumables</v>
      </c>
      <c r="R78" s="25">
        <f>Invoices[[#This Row],[Quantity]]*Invoices[[#This Row],[Unit Cost]]</f>
        <v>167.04</v>
      </c>
      <c r="S78" s="25">
        <f>Invoices[[#This Row],[Quantity]]*Invoices[[#This Row],[New Unit Price]]</f>
        <v>840</v>
      </c>
      <c r="T78" s="25">
        <f>Invoices[[#This Row],[Revenue]]-Invoices[[#This Row],[Cost]]</f>
        <v>672.96</v>
      </c>
      <c r="U78" s="25" t="str">
        <f>TEXT(Invoices[[#This Row],[Date]],"MMM")</f>
        <v>Apr</v>
      </c>
      <c r="V78" s="29">
        <f>CHOOSE(MONTH(Invoices[[#This Row],[Date]]),1,1,1,2,2,2,3,3,3,4,4,4)</f>
        <v>2</v>
      </c>
      <c r="W78" s="30">
        <f>IFERROR(Invoices[[#This Row],[Profit]]/Invoices[[#This Row],[Revenue]],0)</f>
        <v>0.80114285714285716</v>
      </c>
    </row>
    <row r="79" spans="1:23" x14ac:dyDescent="0.3">
      <c r="A79" s="19" t="s">
        <v>5</v>
      </c>
      <c r="B79" s="4">
        <v>22827</v>
      </c>
      <c r="C79" s="15">
        <v>41365</v>
      </c>
      <c r="D79" s="9">
        <v>102</v>
      </c>
      <c r="E79" s="10" t="s">
        <v>63</v>
      </c>
      <c r="F79" s="8">
        <v>1</v>
      </c>
      <c r="G79" s="10"/>
      <c r="H79" s="4" t="s">
        <v>124</v>
      </c>
      <c r="I79" s="4" t="s">
        <v>39</v>
      </c>
      <c r="J79" s="4">
        <v>40</v>
      </c>
      <c r="K79" s="23">
        <v>35</v>
      </c>
      <c r="L79">
        <f>IF(Invoices[[#This Row],[Document Type]]="Return",Invoices[[#This Row],[Unit Price]]*-1,Invoices[[#This Row],[Unit Price]])</f>
        <v>35</v>
      </c>
      <c r="M79" t="str">
        <f>IF(Invoices[[#This Row],[New Unit Price]]&lt;0,"Return",
IF(Invoices[[#This Row],[New Unit Price]]=0,"Free",IF(Invoices[[#This Row],[New Unit Price]]&lt;100,"Basic","Premium")))</f>
        <v>Basic</v>
      </c>
      <c r="N79">
        <f>VLOOKUP(Invoices[[#This Row],[Part  '#]],Products[],4,0)</f>
        <v>6.37</v>
      </c>
      <c r="O79" t="str">
        <f>VLOOKUP(Invoices[[#This Row],[Customer Account]],Customers[],4,0)</f>
        <v>Automotive</v>
      </c>
      <c r="P79" t="str">
        <f>VLOOKUP(Invoices[[#This Row],[Customer Account]],Customers[],3,0)</f>
        <v>Georgia</v>
      </c>
      <c r="Q79" t="str">
        <f>VLOOKUP(Invoices[[#This Row],[Part  '#]],Products[],3,0)</f>
        <v>Consumables</v>
      </c>
      <c r="R79" s="25">
        <f>Invoices[[#This Row],[Quantity]]*Invoices[[#This Row],[Unit Cost]]</f>
        <v>254.8</v>
      </c>
      <c r="S79" s="25">
        <f>Invoices[[#This Row],[Quantity]]*Invoices[[#This Row],[New Unit Price]]</f>
        <v>1400</v>
      </c>
      <c r="T79" s="25">
        <f>Invoices[[#This Row],[Revenue]]-Invoices[[#This Row],[Cost]]</f>
        <v>1145.2</v>
      </c>
      <c r="U79" s="25" t="str">
        <f>TEXT(Invoices[[#This Row],[Date]],"MMM")</f>
        <v>Apr</v>
      </c>
      <c r="V79" s="29">
        <f>CHOOSE(MONTH(Invoices[[#This Row],[Date]]),1,1,1,2,2,2,3,3,3,4,4,4)</f>
        <v>2</v>
      </c>
      <c r="W79" s="30">
        <f>IFERROR(Invoices[[#This Row],[Profit]]/Invoices[[#This Row],[Revenue]],0)</f>
        <v>0.81800000000000006</v>
      </c>
    </row>
    <row r="80" spans="1:23" x14ac:dyDescent="0.3">
      <c r="A80" s="19" t="s">
        <v>5</v>
      </c>
      <c r="B80" s="4">
        <v>22827</v>
      </c>
      <c r="C80" s="15">
        <v>41365</v>
      </c>
      <c r="D80" s="9">
        <v>102</v>
      </c>
      <c r="E80" s="10" t="s">
        <v>63</v>
      </c>
      <c r="F80" s="8">
        <v>2</v>
      </c>
      <c r="G80" s="10"/>
      <c r="H80" s="4" t="s">
        <v>132</v>
      </c>
      <c r="I80" s="4" t="s">
        <v>49</v>
      </c>
      <c r="J80" s="4">
        <v>5</v>
      </c>
      <c r="K80" s="23">
        <v>70</v>
      </c>
      <c r="L80">
        <f>IF(Invoices[[#This Row],[Document Type]]="Return",Invoices[[#This Row],[Unit Price]]*-1,Invoices[[#This Row],[Unit Price]])</f>
        <v>70</v>
      </c>
      <c r="M80" t="str">
        <f>IF(Invoices[[#This Row],[New Unit Price]]&lt;0,"Return",
IF(Invoices[[#This Row],[New Unit Price]]=0,"Free",IF(Invoices[[#This Row],[New Unit Price]]&lt;100,"Basic","Premium")))</f>
        <v>Basic</v>
      </c>
      <c r="N80">
        <f>VLOOKUP(Invoices[[#This Row],[Part  '#]],Products[],4,0)</f>
        <v>13.92</v>
      </c>
      <c r="O80" t="str">
        <f>VLOOKUP(Invoices[[#This Row],[Customer Account]],Customers[],4,0)</f>
        <v>Automotive</v>
      </c>
      <c r="P80" t="str">
        <f>VLOOKUP(Invoices[[#This Row],[Customer Account]],Customers[],3,0)</f>
        <v>Georgia</v>
      </c>
      <c r="Q80" t="str">
        <f>VLOOKUP(Invoices[[#This Row],[Part  '#]],Products[],3,0)</f>
        <v>Consumables</v>
      </c>
      <c r="R80" s="25">
        <f>Invoices[[#This Row],[Quantity]]*Invoices[[#This Row],[Unit Cost]]</f>
        <v>69.599999999999994</v>
      </c>
      <c r="S80" s="25">
        <f>Invoices[[#This Row],[Quantity]]*Invoices[[#This Row],[New Unit Price]]</f>
        <v>350</v>
      </c>
      <c r="T80" s="25">
        <f>Invoices[[#This Row],[Revenue]]-Invoices[[#This Row],[Cost]]</f>
        <v>280.39999999999998</v>
      </c>
      <c r="U80" s="25" t="str">
        <f>TEXT(Invoices[[#This Row],[Date]],"MMM")</f>
        <v>Apr</v>
      </c>
      <c r="V80" s="29">
        <f>CHOOSE(MONTH(Invoices[[#This Row],[Date]]),1,1,1,2,2,2,3,3,3,4,4,4)</f>
        <v>2</v>
      </c>
      <c r="W80" s="30">
        <f>IFERROR(Invoices[[#This Row],[Profit]]/Invoices[[#This Row],[Revenue]],0)</f>
        <v>0.80114285714285705</v>
      </c>
    </row>
    <row r="81" spans="1:23" x14ac:dyDescent="0.3">
      <c r="A81" s="19" t="s">
        <v>5</v>
      </c>
      <c r="B81" s="4">
        <v>22827</v>
      </c>
      <c r="C81" s="15">
        <v>41365</v>
      </c>
      <c r="D81" s="9">
        <v>102</v>
      </c>
      <c r="E81" s="10" t="s">
        <v>63</v>
      </c>
      <c r="F81" s="8">
        <v>3</v>
      </c>
      <c r="G81" s="10"/>
      <c r="H81" s="4" t="s">
        <v>120</v>
      </c>
      <c r="I81" s="4" t="s">
        <v>54</v>
      </c>
      <c r="J81" s="4">
        <v>1</v>
      </c>
      <c r="K81" s="23">
        <v>250</v>
      </c>
      <c r="L81">
        <f>IF(Invoices[[#This Row],[Document Type]]="Return",Invoices[[#This Row],[Unit Price]]*-1,Invoices[[#This Row],[Unit Price]])</f>
        <v>250</v>
      </c>
      <c r="M81" t="str">
        <f>IF(Invoices[[#This Row],[New Unit Price]]&lt;0,"Return",
IF(Invoices[[#This Row],[New Unit Price]]=0,"Free",IF(Invoices[[#This Row],[New Unit Price]]&lt;100,"Basic","Premium")))</f>
        <v>Premium</v>
      </c>
      <c r="N81">
        <f>VLOOKUP(Invoices[[#This Row],[Part  '#]],Products[],4,0)</f>
        <v>89.7</v>
      </c>
      <c r="O81" t="str">
        <f>VLOOKUP(Invoices[[#This Row],[Customer Account]],Customers[],4,0)</f>
        <v>Automotive</v>
      </c>
      <c r="P81" t="str">
        <f>VLOOKUP(Invoices[[#This Row],[Customer Account]],Customers[],3,0)</f>
        <v>Georgia</v>
      </c>
      <c r="Q81" t="str">
        <f>VLOOKUP(Invoices[[#This Row],[Part  '#]],Products[],3,0)</f>
        <v>Accessories</v>
      </c>
      <c r="R81" s="25">
        <f>Invoices[[#This Row],[Quantity]]*Invoices[[#This Row],[Unit Cost]]</f>
        <v>89.7</v>
      </c>
      <c r="S81" s="25">
        <f>Invoices[[#This Row],[Quantity]]*Invoices[[#This Row],[New Unit Price]]</f>
        <v>250</v>
      </c>
      <c r="T81" s="25">
        <f>Invoices[[#This Row],[Revenue]]-Invoices[[#This Row],[Cost]]</f>
        <v>160.30000000000001</v>
      </c>
      <c r="U81" s="25" t="str">
        <f>TEXT(Invoices[[#This Row],[Date]],"MMM")</f>
        <v>Apr</v>
      </c>
      <c r="V81" s="29">
        <f>CHOOSE(MONTH(Invoices[[#This Row],[Date]]),1,1,1,2,2,2,3,3,3,4,4,4)</f>
        <v>2</v>
      </c>
      <c r="W81" s="30">
        <f>IFERROR(Invoices[[#This Row],[Profit]]/Invoices[[#This Row],[Revenue]],0)</f>
        <v>0.64119999999999999</v>
      </c>
    </row>
    <row r="82" spans="1:23" x14ac:dyDescent="0.3">
      <c r="A82" s="19" t="s">
        <v>5</v>
      </c>
      <c r="B82" s="4">
        <v>22828</v>
      </c>
      <c r="C82" s="15">
        <v>41365</v>
      </c>
      <c r="D82" s="9">
        <v>106</v>
      </c>
      <c r="E82" s="10" t="s">
        <v>69</v>
      </c>
      <c r="F82" s="8">
        <v>1</v>
      </c>
      <c r="G82" s="10"/>
      <c r="H82" s="4" t="s">
        <v>123</v>
      </c>
      <c r="I82" s="4" t="s">
        <v>38</v>
      </c>
      <c r="J82" s="4">
        <v>80</v>
      </c>
      <c r="K82" s="23">
        <v>18</v>
      </c>
      <c r="L82">
        <f>IF(Invoices[[#This Row],[Document Type]]="Return",Invoices[[#This Row],[Unit Price]]*-1,Invoices[[#This Row],[Unit Price]])</f>
        <v>18</v>
      </c>
      <c r="M82" t="str">
        <f>IF(Invoices[[#This Row],[New Unit Price]]&lt;0,"Return",
IF(Invoices[[#This Row],[New Unit Price]]=0,"Free",IF(Invoices[[#This Row],[New Unit Price]]&lt;100,"Basic","Premium")))</f>
        <v>Basic</v>
      </c>
      <c r="N82">
        <f>VLOOKUP(Invoices[[#This Row],[Part  '#]],Products[],4,0)</f>
        <v>4.58</v>
      </c>
      <c r="O82" t="str">
        <f>VLOOKUP(Invoices[[#This Row],[Customer Account]],Customers[],4,0)</f>
        <v>Automotive</v>
      </c>
      <c r="P82" t="str">
        <f>VLOOKUP(Invoices[[#This Row],[Customer Account]],Customers[],3,0)</f>
        <v>Tennessee</v>
      </c>
      <c r="Q82" t="str">
        <f>VLOOKUP(Invoices[[#This Row],[Part  '#]],Products[],3,0)</f>
        <v>Consumables</v>
      </c>
      <c r="R82" s="25">
        <f>Invoices[[#This Row],[Quantity]]*Invoices[[#This Row],[Unit Cost]]</f>
        <v>366.4</v>
      </c>
      <c r="S82" s="25">
        <f>Invoices[[#This Row],[Quantity]]*Invoices[[#This Row],[New Unit Price]]</f>
        <v>1440</v>
      </c>
      <c r="T82" s="25">
        <f>Invoices[[#This Row],[Revenue]]-Invoices[[#This Row],[Cost]]</f>
        <v>1073.5999999999999</v>
      </c>
      <c r="U82" s="25" t="str">
        <f>TEXT(Invoices[[#This Row],[Date]],"MMM")</f>
        <v>Apr</v>
      </c>
      <c r="V82" s="29">
        <f>CHOOSE(MONTH(Invoices[[#This Row],[Date]]),1,1,1,2,2,2,3,3,3,4,4,4)</f>
        <v>2</v>
      </c>
      <c r="W82" s="30">
        <f>IFERROR(Invoices[[#This Row],[Profit]]/Invoices[[#This Row],[Revenue]],0)</f>
        <v>0.74555555555555553</v>
      </c>
    </row>
    <row r="83" spans="1:23" x14ac:dyDescent="0.3">
      <c r="A83" s="19" t="s">
        <v>5</v>
      </c>
      <c r="B83" s="4">
        <v>22828</v>
      </c>
      <c r="C83" s="15">
        <v>41365</v>
      </c>
      <c r="D83" s="9">
        <v>106</v>
      </c>
      <c r="E83" s="10" t="s">
        <v>69</v>
      </c>
      <c r="F83" s="8">
        <v>2</v>
      </c>
      <c r="G83" s="10"/>
      <c r="H83" s="4" t="s">
        <v>132</v>
      </c>
      <c r="I83" s="4" t="s">
        <v>49</v>
      </c>
      <c r="J83" s="4">
        <v>20</v>
      </c>
      <c r="K83" s="23">
        <v>70</v>
      </c>
      <c r="L83">
        <f>IF(Invoices[[#This Row],[Document Type]]="Return",Invoices[[#This Row],[Unit Price]]*-1,Invoices[[#This Row],[Unit Price]])</f>
        <v>70</v>
      </c>
      <c r="M83" t="str">
        <f>IF(Invoices[[#This Row],[New Unit Price]]&lt;0,"Return",
IF(Invoices[[#This Row],[New Unit Price]]=0,"Free",IF(Invoices[[#This Row],[New Unit Price]]&lt;100,"Basic","Premium")))</f>
        <v>Basic</v>
      </c>
      <c r="N83">
        <f>VLOOKUP(Invoices[[#This Row],[Part  '#]],Products[],4,0)</f>
        <v>13.92</v>
      </c>
      <c r="O83" t="str">
        <f>VLOOKUP(Invoices[[#This Row],[Customer Account]],Customers[],4,0)</f>
        <v>Automotive</v>
      </c>
      <c r="P83" t="str">
        <f>VLOOKUP(Invoices[[#This Row],[Customer Account]],Customers[],3,0)</f>
        <v>Tennessee</v>
      </c>
      <c r="Q83" t="str">
        <f>VLOOKUP(Invoices[[#This Row],[Part  '#]],Products[],3,0)</f>
        <v>Consumables</v>
      </c>
      <c r="R83" s="25">
        <f>Invoices[[#This Row],[Quantity]]*Invoices[[#This Row],[Unit Cost]]</f>
        <v>278.39999999999998</v>
      </c>
      <c r="S83" s="25">
        <f>Invoices[[#This Row],[Quantity]]*Invoices[[#This Row],[New Unit Price]]</f>
        <v>1400</v>
      </c>
      <c r="T83" s="25">
        <f>Invoices[[#This Row],[Revenue]]-Invoices[[#This Row],[Cost]]</f>
        <v>1121.5999999999999</v>
      </c>
      <c r="U83" s="25" t="str">
        <f>TEXT(Invoices[[#This Row],[Date]],"MMM")</f>
        <v>Apr</v>
      </c>
      <c r="V83" s="29">
        <f>CHOOSE(MONTH(Invoices[[#This Row],[Date]]),1,1,1,2,2,2,3,3,3,4,4,4)</f>
        <v>2</v>
      </c>
      <c r="W83" s="30">
        <f>IFERROR(Invoices[[#This Row],[Profit]]/Invoices[[#This Row],[Revenue]],0)</f>
        <v>0.80114285714285705</v>
      </c>
    </row>
    <row r="84" spans="1:23" x14ac:dyDescent="0.3">
      <c r="A84" s="19" t="s">
        <v>5</v>
      </c>
      <c r="B84" s="4">
        <v>22829</v>
      </c>
      <c r="C84" s="15">
        <v>41365</v>
      </c>
      <c r="D84" s="9">
        <v>107</v>
      </c>
      <c r="E84" s="10" t="s">
        <v>72</v>
      </c>
      <c r="F84" s="8">
        <v>1</v>
      </c>
      <c r="G84" s="10"/>
      <c r="H84" s="4" t="s">
        <v>125</v>
      </c>
      <c r="I84" s="4" t="s">
        <v>40</v>
      </c>
      <c r="J84" s="4">
        <v>10</v>
      </c>
      <c r="K84" s="23">
        <v>30</v>
      </c>
      <c r="L84">
        <f>IF(Invoices[[#This Row],[Document Type]]="Return",Invoices[[#This Row],[Unit Price]]*-1,Invoices[[#This Row],[Unit Price]])</f>
        <v>30</v>
      </c>
      <c r="M84" t="str">
        <f>IF(Invoices[[#This Row],[New Unit Price]]&lt;0,"Return",
IF(Invoices[[#This Row],[New Unit Price]]=0,"Free",IF(Invoices[[#This Row],[New Unit Price]]&lt;100,"Basic","Premium")))</f>
        <v>Basic</v>
      </c>
      <c r="N84">
        <f>VLOOKUP(Invoices[[#This Row],[Part  '#]],Products[],4,0)</f>
        <v>6.9</v>
      </c>
      <c r="O84" t="str">
        <f>VLOOKUP(Invoices[[#This Row],[Customer Account]],Customers[],4,0)</f>
        <v>Financial</v>
      </c>
      <c r="P84" t="str">
        <f>VLOOKUP(Invoices[[#This Row],[Customer Account]],Customers[],3,0)</f>
        <v>Georgia</v>
      </c>
      <c r="Q84" t="str">
        <f>VLOOKUP(Invoices[[#This Row],[Part  '#]],Products[],3,0)</f>
        <v>Consumables</v>
      </c>
      <c r="R84" s="25">
        <f>Invoices[[#This Row],[Quantity]]*Invoices[[#This Row],[Unit Cost]]</f>
        <v>69</v>
      </c>
      <c r="S84" s="25">
        <f>Invoices[[#This Row],[Quantity]]*Invoices[[#This Row],[New Unit Price]]</f>
        <v>300</v>
      </c>
      <c r="T84" s="25">
        <f>Invoices[[#This Row],[Revenue]]-Invoices[[#This Row],[Cost]]</f>
        <v>231</v>
      </c>
      <c r="U84" s="25" t="str">
        <f>TEXT(Invoices[[#This Row],[Date]],"MMM")</f>
        <v>Apr</v>
      </c>
      <c r="V84" s="29">
        <f>CHOOSE(MONTH(Invoices[[#This Row],[Date]]),1,1,1,2,2,2,3,3,3,4,4,4)</f>
        <v>2</v>
      </c>
      <c r="W84" s="30">
        <f>IFERROR(Invoices[[#This Row],[Profit]]/Invoices[[#This Row],[Revenue]],0)</f>
        <v>0.77</v>
      </c>
    </row>
    <row r="85" spans="1:23" x14ac:dyDescent="0.3">
      <c r="A85" s="19" t="s">
        <v>5</v>
      </c>
      <c r="B85" s="4">
        <v>22829</v>
      </c>
      <c r="C85" s="15">
        <v>41365</v>
      </c>
      <c r="D85" s="9">
        <v>107</v>
      </c>
      <c r="E85" s="10" t="s">
        <v>72</v>
      </c>
      <c r="F85" s="8">
        <v>2</v>
      </c>
      <c r="G85" s="10"/>
      <c r="H85" s="4" t="s">
        <v>132</v>
      </c>
      <c r="I85" s="4" t="s">
        <v>49</v>
      </c>
      <c r="J85" s="4">
        <v>2</v>
      </c>
      <c r="K85" s="23">
        <v>70</v>
      </c>
      <c r="L85">
        <f>IF(Invoices[[#This Row],[Document Type]]="Return",Invoices[[#This Row],[Unit Price]]*-1,Invoices[[#This Row],[Unit Price]])</f>
        <v>70</v>
      </c>
      <c r="M85" t="str">
        <f>IF(Invoices[[#This Row],[New Unit Price]]&lt;0,"Return",
IF(Invoices[[#This Row],[New Unit Price]]=0,"Free",IF(Invoices[[#This Row],[New Unit Price]]&lt;100,"Basic","Premium")))</f>
        <v>Basic</v>
      </c>
      <c r="N85">
        <f>VLOOKUP(Invoices[[#This Row],[Part  '#]],Products[],4,0)</f>
        <v>13.92</v>
      </c>
      <c r="O85" t="str">
        <f>VLOOKUP(Invoices[[#This Row],[Customer Account]],Customers[],4,0)</f>
        <v>Financial</v>
      </c>
      <c r="P85" t="str">
        <f>VLOOKUP(Invoices[[#This Row],[Customer Account]],Customers[],3,0)</f>
        <v>Georgia</v>
      </c>
      <c r="Q85" t="str">
        <f>VLOOKUP(Invoices[[#This Row],[Part  '#]],Products[],3,0)</f>
        <v>Consumables</v>
      </c>
      <c r="R85" s="25">
        <f>Invoices[[#This Row],[Quantity]]*Invoices[[#This Row],[Unit Cost]]</f>
        <v>27.84</v>
      </c>
      <c r="S85" s="25">
        <f>Invoices[[#This Row],[Quantity]]*Invoices[[#This Row],[New Unit Price]]</f>
        <v>140</v>
      </c>
      <c r="T85" s="25">
        <f>Invoices[[#This Row],[Revenue]]-Invoices[[#This Row],[Cost]]</f>
        <v>112.16</v>
      </c>
      <c r="U85" s="25" t="str">
        <f>TEXT(Invoices[[#This Row],[Date]],"MMM")</f>
        <v>Apr</v>
      </c>
      <c r="V85" s="29">
        <f>CHOOSE(MONTH(Invoices[[#This Row],[Date]]),1,1,1,2,2,2,3,3,3,4,4,4)</f>
        <v>2</v>
      </c>
      <c r="W85" s="30">
        <f>IFERROR(Invoices[[#This Row],[Profit]]/Invoices[[#This Row],[Revenue]],0)</f>
        <v>0.80114285714285716</v>
      </c>
    </row>
    <row r="86" spans="1:23" x14ac:dyDescent="0.3">
      <c r="A86" s="19" t="s">
        <v>5</v>
      </c>
      <c r="B86" s="4">
        <v>22830</v>
      </c>
      <c r="C86" s="15">
        <v>41365</v>
      </c>
      <c r="D86" s="9">
        <v>112</v>
      </c>
      <c r="E86" s="10" t="s">
        <v>80</v>
      </c>
      <c r="F86" s="8">
        <v>1</v>
      </c>
      <c r="G86" s="10"/>
      <c r="H86" s="4" t="s">
        <v>132</v>
      </c>
      <c r="I86" s="4" t="s">
        <v>49</v>
      </c>
      <c r="J86" s="4">
        <v>5</v>
      </c>
      <c r="K86" s="23">
        <v>70</v>
      </c>
      <c r="L86">
        <f>IF(Invoices[[#This Row],[Document Type]]="Return",Invoices[[#This Row],[Unit Price]]*-1,Invoices[[#This Row],[Unit Price]])</f>
        <v>70</v>
      </c>
      <c r="M86" t="str">
        <f>IF(Invoices[[#This Row],[New Unit Price]]&lt;0,"Return",
IF(Invoices[[#This Row],[New Unit Price]]=0,"Free",IF(Invoices[[#This Row],[New Unit Price]]&lt;100,"Basic","Premium")))</f>
        <v>Basic</v>
      </c>
      <c r="N86">
        <f>VLOOKUP(Invoices[[#This Row],[Part  '#]],Products[],4,0)</f>
        <v>13.92</v>
      </c>
      <c r="O86" t="str">
        <f>VLOOKUP(Invoices[[#This Row],[Customer Account]],Customers[],4,0)</f>
        <v>Financial</v>
      </c>
      <c r="P86" t="str">
        <f>VLOOKUP(Invoices[[#This Row],[Customer Account]],Customers[],3,0)</f>
        <v>Georgia</v>
      </c>
      <c r="Q86" t="str">
        <f>VLOOKUP(Invoices[[#This Row],[Part  '#]],Products[],3,0)</f>
        <v>Consumables</v>
      </c>
      <c r="R86" s="25">
        <f>Invoices[[#This Row],[Quantity]]*Invoices[[#This Row],[Unit Cost]]</f>
        <v>69.599999999999994</v>
      </c>
      <c r="S86" s="25">
        <f>Invoices[[#This Row],[Quantity]]*Invoices[[#This Row],[New Unit Price]]</f>
        <v>350</v>
      </c>
      <c r="T86" s="25">
        <f>Invoices[[#This Row],[Revenue]]-Invoices[[#This Row],[Cost]]</f>
        <v>280.39999999999998</v>
      </c>
      <c r="U86" s="25" t="str">
        <f>TEXT(Invoices[[#This Row],[Date]],"MMM")</f>
        <v>Apr</v>
      </c>
      <c r="V86" s="29">
        <f>CHOOSE(MONTH(Invoices[[#This Row],[Date]]),1,1,1,2,2,2,3,3,3,4,4,4)</f>
        <v>2</v>
      </c>
      <c r="W86" s="30">
        <f>IFERROR(Invoices[[#This Row],[Profit]]/Invoices[[#This Row],[Revenue]],0)</f>
        <v>0.80114285714285705</v>
      </c>
    </row>
    <row r="87" spans="1:23" x14ac:dyDescent="0.3">
      <c r="A87" s="19" t="s">
        <v>5</v>
      </c>
      <c r="B87" s="4">
        <v>22830</v>
      </c>
      <c r="C87" s="15">
        <v>41365</v>
      </c>
      <c r="D87" s="9">
        <v>112</v>
      </c>
      <c r="E87" s="10" t="s">
        <v>80</v>
      </c>
      <c r="F87" s="8">
        <v>2</v>
      </c>
      <c r="G87" s="10"/>
      <c r="H87" s="4" t="s">
        <v>125</v>
      </c>
      <c r="I87" s="4" t="s">
        <v>40</v>
      </c>
      <c r="J87" s="4">
        <v>5</v>
      </c>
      <c r="K87" s="23">
        <v>30</v>
      </c>
      <c r="L87">
        <f>IF(Invoices[[#This Row],[Document Type]]="Return",Invoices[[#This Row],[Unit Price]]*-1,Invoices[[#This Row],[Unit Price]])</f>
        <v>30</v>
      </c>
      <c r="M87" t="str">
        <f>IF(Invoices[[#This Row],[New Unit Price]]&lt;0,"Return",
IF(Invoices[[#This Row],[New Unit Price]]=0,"Free",IF(Invoices[[#This Row],[New Unit Price]]&lt;100,"Basic","Premium")))</f>
        <v>Basic</v>
      </c>
      <c r="N87">
        <f>VLOOKUP(Invoices[[#This Row],[Part  '#]],Products[],4,0)</f>
        <v>6.9</v>
      </c>
      <c r="O87" t="str">
        <f>VLOOKUP(Invoices[[#This Row],[Customer Account]],Customers[],4,0)</f>
        <v>Financial</v>
      </c>
      <c r="P87" t="str">
        <f>VLOOKUP(Invoices[[#This Row],[Customer Account]],Customers[],3,0)</f>
        <v>Georgia</v>
      </c>
      <c r="Q87" t="str">
        <f>VLOOKUP(Invoices[[#This Row],[Part  '#]],Products[],3,0)</f>
        <v>Consumables</v>
      </c>
      <c r="R87" s="25">
        <f>Invoices[[#This Row],[Quantity]]*Invoices[[#This Row],[Unit Cost]]</f>
        <v>34.5</v>
      </c>
      <c r="S87" s="25">
        <f>Invoices[[#This Row],[Quantity]]*Invoices[[#This Row],[New Unit Price]]</f>
        <v>150</v>
      </c>
      <c r="T87" s="25">
        <f>Invoices[[#This Row],[Revenue]]-Invoices[[#This Row],[Cost]]</f>
        <v>115.5</v>
      </c>
      <c r="U87" s="25" t="str">
        <f>TEXT(Invoices[[#This Row],[Date]],"MMM")</f>
        <v>Apr</v>
      </c>
      <c r="V87" s="29">
        <f>CHOOSE(MONTH(Invoices[[#This Row],[Date]]),1,1,1,2,2,2,3,3,3,4,4,4)</f>
        <v>2</v>
      </c>
      <c r="W87" s="30">
        <f>IFERROR(Invoices[[#This Row],[Profit]]/Invoices[[#This Row],[Revenue]],0)</f>
        <v>0.77</v>
      </c>
    </row>
    <row r="88" spans="1:23" x14ac:dyDescent="0.3">
      <c r="A88" s="19" t="s">
        <v>5</v>
      </c>
      <c r="B88" s="4">
        <v>22830</v>
      </c>
      <c r="C88" s="15">
        <v>41365</v>
      </c>
      <c r="D88" s="9">
        <v>112</v>
      </c>
      <c r="E88" s="10" t="s">
        <v>80</v>
      </c>
      <c r="F88" s="8">
        <v>3</v>
      </c>
      <c r="G88" s="10"/>
      <c r="H88" s="4" t="s">
        <v>92</v>
      </c>
      <c r="I88" s="4" t="s">
        <v>10</v>
      </c>
      <c r="J88" s="4">
        <v>2</v>
      </c>
      <c r="K88" s="23">
        <v>1500</v>
      </c>
      <c r="L88">
        <f>IF(Invoices[[#This Row],[Document Type]]="Return",Invoices[[#This Row],[Unit Price]]*-1,Invoices[[#This Row],[Unit Price]])</f>
        <v>1500</v>
      </c>
      <c r="M88" t="str">
        <f>IF(Invoices[[#This Row],[New Unit Price]]&lt;0,"Return",
IF(Invoices[[#This Row],[New Unit Price]]=0,"Free",IF(Invoices[[#This Row],[New Unit Price]]&lt;100,"Basic","Premium")))</f>
        <v>Premium</v>
      </c>
      <c r="N88">
        <f>VLOOKUP(Invoices[[#This Row],[Part  '#]],Products[],4,0)</f>
        <v>899.1</v>
      </c>
      <c r="O88" t="str">
        <f>VLOOKUP(Invoices[[#This Row],[Customer Account]],Customers[],4,0)</f>
        <v>Financial</v>
      </c>
      <c r="P88" t="str">
        <f>VLOOKUP(Invoices[[#This Row],[Customer Account]],Customers[],3,0)</f>
        <v>Georgia</v>
      </c>
      <c r="Q88" t="str">
        <f>VLOOKUP(Invoices[[#This Row],[Part  '#]],Products[],3,0)</f>
        <v>Product</v>
      </c>
      <c r="R88" s="25">
        <f>Invoices[[#This Row],[Quantity]]*Invoices[[#This Row],[Unit Cost]]</f>
        <v>1798.2</v>
      </c>
      <c r="S88" s="25">
        <f>Invoices[[#This Row],[Quantity]]*Invoices[[#This Row],[New Unit Price]]</f>
        <v>3000</v>
      </c>
      <c r="T88" s="25">
        <f>Invoices[[#This Row],[Revenue]]-Invoices[[#This Row],[Cost]]</f>
        <v>1201.8</v>
      </c>
      <c r="U88" s="25" t="str">
        <f>TEXT(Invoices[[#This Row],[Date]],"MMM")</f>
        <v>Apr</v>
      </c>
      <c r="V88" s="29">
        <f>CHOOSE(MONTH(Invoices[[#This Row],[Date]]),1,1,1,2,2,2,3,3,3,4,4,4)</f>
        <v>2</v>
      </c>
      <c r="W88" s="30">
        <f>IFERROR(Invoices[[#This Row],[Profit]]/Invoices[[#This Row],[Revenue]],0)</f>
        <v>0.40060000000000001</v>
      </c>
    </row>
    <row r="89" spans="1:23" x14ac:dyDescent="0.3">
      <c r="A89" s="19" t="s">
        <v>5</v>
      </c>
      <c r="B89" s="4">
        <v>22830</v>
      </c>
      <c r="C89" s="15">
        <v>41365</v>
      </c>
      <c r="D89" s="9">
        <v>112</v>
      </c>
      <c r="E89" s="10" t="s">
        <v>80</v>
      </c>
      <c r="F89" s="8">
        <v>4</v>
      </c>
      <c r="G89" s="10"/>
      <c r="H89" s="4" t="s">
        <v>110</v>
      </c>
      <c r="I89" s="4" t="s">
        <v>25</v>
      </c>
      <c r="J89" s="4">
        <v>2</v>
      </c>
      <c r="K89" s="23">
        <v>35</v>
      </c>
      <c r="L89">
        <f>IF(Invoices[[#This Row],[Document Type]]="Return",Invoices[[#This Row],[Unit Price]]*-1,Invoices[[#This Row],[Unit Price]])</f>
        <v>35</v>
      </c>
      <c r="M89" t="str">
        <f>IF(Invoices[[#This Row],[New Unit Price]]&lt;0,"Return",
IF(Invoices[[#This Row],[New Unit Price]]=0,"Free",IF(Invoices[[#This Row],[New Unit Price]]&lt;100,"Basic","Premium")))</f>
        <v>Basic</v>
      </c>
      <c r="N89">
        <f>VLOOKUP(Invoices[[#This Row],[Part  '#]],Products[],4,0)</f>
        <v>13.79</v>
      </c>
      <c r="O89" t="str">
        <f>VLOOKUP(Invoices[[#This Row],[Customer Account]],Customers[],4,0)</f>
        <v>Financial</v>
      </c>
      <c r="P89" t="str">
        <f>VLOOKUP(Invoices[[#This Row],[Customer Account]],Customers[],3,0)</f>
        <v>Georgia</v>
      </c>
      <c r="Q89" t="str">
        <f>VLOOKUP(Invoices[[#This Row],[Part  '#]],Products[],3,0)</f>
        <v>Accessories</v>
      </c>
      <c r="R89" s="25">
        <f>Invoices[[#This Row],[Quantity]]*Invoices[[#This Row],[Unit Cost]]</f>
        <v>27.58</v>
      </c>
      <c r="S89" s="25">
        <f>Invoices[[#This Row],[Quantity]]*Invoices[[#This Row],[New Unit Price]]</f>
        <v>70</v>
      </c>
      <c r="T89" s="25">
        <f>Invoices[[#This Row],[Revenue]]-Invoices[[#This Row],[Cost]]</f>
        <v>42.42</v>
      </c>
      <c r="U89" s="25" t="str">
        <f>TEXT(Invoices[[#This Row],[Date]],"MMM")</f>
        <v>Apr</v>
      </c>
      <c r="V89" s="29">
        <f>CHOOSE(MONTH(Invoices[[#This Row],[Date]]),1,1,1,2,2,2,3,3,3,4,4,4)</f>
        <v>2</v>
      </c>
      <c r="W89" s="30">
        <f>IFERROR(Invoices[[#This Row],[Profit]]/Invoices[[#This Row],[Revenue]],0)</f>
        <v>0.60599999999999998</v>
      </c>
    </row>
    <row r="90" spans="1:23" x14ac:dyDescent="0.3">
      <c r="A90" s="19" t="s">
        <v>5</v>
      </c>
      <c r="B90" s="4">
        <v>22830</v>
      </c>
      <c r="C90" s="15">
        <v>41365</v>
      </c>
      <c r="D90" s="9">
        <v>112</v>
      </c>
      <c r="E90" s="10" t="s">
        <v>80</v>
      </c>
      <c r="F90" s="8">
        <v>5</v>
      </c>
      <c r="G90" s="10"/>
      <c r="H90" s="4" t="s">
        <v>117</v>
      </c>
      <c r="I90" s="4" t="s">
        <v>33</v>
      </c>
      <c r="J90" s="4">
        <v>2</v>
      </c>
      <c r="K90" s="23">
        <v>30</v>
      </c>
      <c r="L90">
        <f>IF(Invoices[[#This Row],[Document Type]]="Return",Invoices[[#This Row],[Unit Price]]*-1,Invoices[[#This Row],[Unit Price]])</f>
        <v>30</v>
      </c>
      <c r="M90" t="str">
        <f>IF(Invoices[[#This Row],[New Unit Price]]&lt;0,"Return",
IF(Invoices[[#This Row],[New Unit Price]]=0,"Free",IF(Invoices[[#This Row],[New Unit Price]]&lt;100,"Basic","Premium")))</f>
        <v>Basic</v>
      </c>
      <c r="N90">
        <f>VLOOKUP(Invoices[[#This Row],[Part  '#]],Products[],4,0)</f>
        <v>11.59</v>
      </c>
      <c r="O90" t="str">
        <f>VLOOKUP(Invoices[[#This Row],[Customer Account]],Customers[],4,0)</f>
        <v>Financial</v>
      </c>
      <c r="P90" t="str">
        <f>VLOOKUP(Invoices[[#This Row],[Customer Account]],Customers[],3,0)</f>
        <v>Georgia</v>
      </c>
      <c r="Q90" t="str">
        <f>VLOOKUP(Invoices[[#This Row],[Part  '#]],Products[],3,0)</f>
        <v>Accessories</v>
      </c>
      <c r="R90" s="25">
        <f>Invoices[[#This Row],[Quantity]]*Invoices[[#This Row],[Unit Cost]]</f>
        <v>23.18</v>
      </c>
      <c r="S90" s="25">
        <f>Invoices[[#This Row],[Quantity]]*Invoices[[#This Row],[New Unit Price]]</f>
        <v>60</v>
      </c>
      <c r="T90" s="25">
        <f>Invoices[[#This Row],[Revenue]]-Invoices[[#This Row],[Cost]]</f>
        <v>36.82</v>
      </c>
      <c r="U90" s="25" t="str">
        <f>TEXT(Invoices[[#This Row],[Date]],"MMM")</f>
        <v>Apr</v>
      </c>
      <c r="V90" s="29">
        <f>CHOOSE(MONTH(Invoices[[#This Row],[Date]]),1,1,1,2,2,2,3,3,3,4,4,4)</f>
        <v>2</v>
      </c>
      <c r="W90" s="30">
        <f>IFERROR(Invoices[[#This Row],[Profit]]/Invoices[[#This Row],[Revenue]],0)</f>
        <v>0.61366666666666669</v>
      </c>
    </row>
    <row r="91" spans="1:23" x14ac:dyDescent="0.3">
      <c r="A91" s="19" t="s">
        <v>5</v>
      </c>
      <c r="B91" s="4">
        <v>22830</v>
      </c>
      <c r="C91" s="15">
        <v>41365</v>
      </c>
      <c r="D91" s="9">
        <v>112</v>
      </c>
      <c r="E91" s="10" t="s">
        <v>80</v>
      </c>
      <c r="F91" s="8">
        <v>6</v>
      </c>
      <c r="G91" s="10"/>
      <c r="H91" s="4" t="s">
        <v>119</v>
      </c>
      <c r="I91" s="4" t="s">
        <v>43</v>
      </c>
      <c r="J91" s="4">
        <v>2</v>
      </c>
      <c r="K91" s="23">
        <v>60</v>
      </c>
      <c r="L91">
        <f>IF(Invoices[[#This Row],[Document Type]]="Return",Invoices[[#This Row],[Unit Price]]*-1,Invoices[[#This Row],[Unit Price]])</f>
        <v>60</v>
      </c>
      <c r="M91" t="str">
        <f>IF(Invoices[[#This Row],[New Unit Price]]&lt;0,"Return",
IF(Invoices[[#This Row],[New Unit Price]]=0,"Free",IF(Invoices[[#This Row],[New Unit Price]]&lt;100,"Basic","Premium")))</f>
        <v>Basic</v>
      </c>
      <c r="N91">
        <f>VLOOKUP(Invoices[[#This Row],[Part  '#]],Products[],4,0)</f>
        <v>17.22</v>
      </c>
      <c r="O91" t="str">
        <f>VLOOKUP(Invoices[[#This Row],[Customer Account]],Customers[],4,0)</f>
        <v>Financial</v>
      </c>
      <c r="P91" t="str">
        <f>VLOOKUP(Invoices[[#This Row],[Customer Account]],Customers[],3,0)</f>
        <v>Georgia</v>
      </c>
      <c r="Q91" t="str">
        <f>VLOOKUP(Invoices[[#This Row],[Part  '#]],Products[],3,0)</f>
        <v>Accessories</v>
      </c>
      <c r="R91" s="25">
        <f>Invoices[[#This Row],[Quantity]]*Invoices[[#This Row],[Unit Cost]]</f>
        <v>34.44</v>
      </c>
      <c r="S91" s="25">
        <f>Invoices[[#This Row],[Quantity]]*Invoices[[#This Row],[New Unit Price]]</f>
        <v>120</v>
      </c>
      <c r="T91" s="25">
        <f>Invoices[[#This Row],[Revenue]]-Invoices[[#This Row],[Cost]]</f>
        <v>85.56</v>
      </c>
      <c r="U91" s="25" t="str">
        <f>TEXT(Invoices[[#This Row],[Date]],"MMM")</f>
        <v>Apr</v>
      </c>
      <c r="V91" s="29">
        <f>CHOOSE(MONTH(Invoices[[#This Row],[Date]]),1,1,1,2,2,2,3,3,3,4,4,4)</f>
        <v>2</v>
      </c>
      <c r="W91" s="30">
        <f>IFERROR(Invoices[[#This Row],[Profit]]/Invoices[[#This Row],[Revenue]],0)</f>
        <v>0.71299999999999997</v>
      </c>
    </row>
    <row r="92" spans="1:23" x14ac:dyDescent="0.3">
      <c r="A92" s="19" t="s">
        <v>5</v>
      </c>
      <c r="B92" s="4">
        <v>22831</v>
      </c>
      <c r="C92" s="15">
        <v>41365</v>
      </c>
      <c r="D92" s="9">
        <v>113</v>
      </c>
      <c r="E92" s="10" t="s">
        <v>81</v>
      </c>
      <c r="F92" s="8">
        <v>1</v>
      </c>
      <c r="G92" s="10"/>
      <c r="H92" s="4" t="s">
        <v>125</v>
      </c>
      <c r="I92" s="4" t="s">
        <v>40</v>
      </c>
      <c r="J92" s="4">
        <v>250</v>
      </c>
      <c r="K92" s="23">
        <v>24</v>
      </c>
      <c r="L92">
        <f>IF(Invoices[[#This Row],[Document Type]]="Return",Invoices[[#This Row],[Unit Price]]*-1,Invoices[[#This Row],[Unit Price]])</f>
        <v>24</v>
      </c>
      <c r="M92" t="str">
        <f>IF(Invoices[[#This Row],[New Unit Price]]&lt;0,"Return",
IF(Invoices[[#This Row],[New Unit Price]]=0,"Free",IF(Invoices[[#This Row],[New Unit Price]]&lt;100,"Basic","Premium")))</f>
        <v>Basic</v>
      </c>
      <c r="N92">
        <f>VLOOKUP(Invoices[[#This Row],[Part  '#]],Products[],4,0)</f>
        <v>6.9</v>
      </c>
      <c r="O92" t="str">
        <f>VLOOKUP(Invoices[[#This Row],[Customer Account]],Customers[],4,0)</f>
        <v>Financial</v>
      </c>
      <c r="P92" t="str">
        <f>VLOOKUP(Invoices[[#This Row],[Customer Account]],Customers[],3,0)</f>
        <v>Georgia</v>
      </c>
      <c r="Q92" t="str">
        <f>VLOOKUP(Invoices[[#This Row],[Part  '#]],Products[],3,0)</f>
        <v>Consumables</v>
      </c>
      <c r="R92" s="25">
        <f>Invoices[[#This Row],[Quantity]]*Invoices[[#This Row],[Unit Cost]]</f>
        <v>1725</v>
      </c>
      <c r="S92" s="25">
        <f>Invoices[[#This Row],[Quantity]]*Invoices[[#This Row],[New Unit Price]]</f>
        <v>6000</v>
      </c>
      <c r="T92" s="25">
        <f>Invoices[[#This Row],[Revenue]]-Invoices[[#This Row],[Cost]]</f>
        <v>4275</v>
      </c>
      <c r="U92" s="25" t="str">
        <f>TEXT(Invoices[[#This Row],[Date]],"MMM")</f>
        <v>Apr</v>
      </c>
      <c r="V92" s="29">
        <f>CHOOSE(MONTH(Invoices[[#This Row],[Date]]),1,1,1,2,2,2,3,3,3,4,4,4)</f>
        <v>2</v>
      </c>
      <c r="W92" s="30">
        <f>IFERROR(Invoices[[#This Row],[Profit]]/Invoices[[#This Row],[Revenue]],0)</f>
        <v>0.71250000000000002</v>
      </c>
    </row>
    <row r="93" spans="1:23" x14ac:dyDescent="0.3">
      <c r="A93" s="19" t="s">
        <v>5</v>
      </c>
      <c r="B93" s="4">
        <v>22831</v>
      </c>
      <c r="C93" s="15">
        <v>41365</v>
      </c>
      <c r="D93" s="9">
        <v>113</v>
      </c>
      <c r="E93" s="10" t="s">
        <v>81</v>
      </c>
      <c r="F93" s="8">
        <v>2</v>
      </c>
      <c r="G93" s="10"/>
      <c r="H93" s="4" t="s">
        <v>132</v>
      </c>
      <c r="I93" s="4" t="s">
        <v>49</v>
      </c>
      <c r="J93" s="4">
        <v>50</v>
      </c>
      <c r="K93" s="23">
        <v>70</v>
      </c>
      <c r="L93">
        <f>IF(Invoices[[#This Row],[Document Type]]="Return",Invoices[[#This Row],[Unit Price]]*-1,Invoices[[#This Row],[Unit Price]])</f>
        <v>70</v>
      </c>
      <c r="M93" t="str">
        <f>IF(Invoices[[#This Row],[New Unit Price]]&lt;0,"Return",
IF(Invoices[[#This Row],[New Unit Price]]=0,"Free",IF(Invoices[[#This Row],[New Unit Price]]&lt;100,"Basic","Premium")))</f>
        <v>Basic</v>
      </c>
      <c r="N93">
        <f>VLOOKUP(Invoices[[#This Row],[Part  '#]],Products[],4,0)</f>
        <v>13.92</v>
      </c>
      <c r="O93" t="str">
        <f>VLOOKUP(Invoices[[#This Row],[Customer Account]],Customers[],4,0)</f>
        <v>Financial</v>
      </c>
      <c r="P93" t="str">
        <f>VLOOKUP(Invoices[[#This Row],[Customer Account]],Customers[],3,0)</f>
        <v>Georgia</v>
      </c>
      <c r="Q93" t="str">
        <f>VLOOKUP(Invoices[[#This Row],[Part  '#]],Products[],3,0)</f>
        <v>Consumables</v>
      </c>
      <c r="R93" s="25">
        <f>Invoices[[#This Row],[Quantity]]*Invoices[[#This Row],[Unit Cost]]</f>
        <v>696</v>
      </c>
      <c r="S93" s="25">
        <f>Invoices[[#This Row],[Quantity]]*Invoices[[#This Row],[New Unit Price]]</f>
        <v>3500</v>
      </c>
      <c r="T93" s="25">
        <f>Invoices[[#This Row],[Revenue]]-Invoices[[#This Row],[Cost]]</f>
        <v>2804</v>
      </c>
      <c r="U93" s="25" t="str">
        <f>TEXT(Invoices[[#This Row],[Date]],"MMM")</f>
        <v>Apr</v>
      </c>
      <c r="V93" s="29">
        <f>CHOOSE(MONTH(Invoices[[#This Row],[Date]]),1,1,1,2,2,2,3,3,3,4,4,4)</f>
        <v>2</v>
      </c>
      <c r="W93" s="30">
        <f>IFERROR(Invoices[[#This Row],[Profit]]/Invoices[[#This Row],[Revenue]],0)</f>
        <v>0.80114285714285716</v>
      </c>
    </row>
    <row r="94" spans="1:23" x14ac:dyDescent="0.3">
      <c r="A94" s="19" t="s">
        <v>5</v>
      </c>
      <c r="B94" s="4">
        <v>22832</v>
      </c>
      <c r="C94" s="15">
        <v>41365</v>
      </c>
      <c r="D94" s="9">
        <v>117</v>
      </c>
      <c r="E94" s="10" t="s">
        <v>85</v>
      </c>
      <c r="F94" s="8">
        <v>1</v>
      </c>
      <c r="G94" s="10"/>
      <c r="H94" s="4" t="s">
        <v>132</v>
      </c>
      <c r="I94" s="4" t="s">
        <v>49</v>
      </c>
      <c r="J94" s="4">
        <v>3</v>
      </c>
      <c r="K94" s="23">
        <v>70</v>
      </c>
      <c r="L94">
        <f>IF(Invoices[[#This Row],[Document Type]]="Return",Invoices[[#This Row],[Unit Price]]*-1,Invoices[[#This Row],[Unit Price]])</f>
        <v>70</v>
      </c>
      <c r="M94" t="str">
        <f>IF(Invoices[[#This Row],[New Unit Price]]&lt;0,"Return",
IF(Invoices[[#This Row],[New Unit Price]]=0,"Free",IF(Invoices[[#This Row],[New Unit Price]]&lt;100,"Basic","Premium")))</f>
        <v>Basic</v>
      </c>
      <c r="N94">
        <f>VLOOKUP(Invoices[[#This Row],[Part  '#]],Products[],4,0)</f>
        <v>13.92</v>
      </c>
      <c r="O94" t="str">
        <f>VLOOKUP(Invoices[[#This Row],[Customer Account]],Customers[],4,0)</f>
        <v>Automotive</v>
      </c>
      <c r="P94" t="str">
        <f>VLOOKUP(Invoices[[#This Row],[Customer Account]],Customers[],3,0)</f>
        <v>Georgia</v>
      </c>
      <c r="Q94" t="str">
        <f>VLOOKUP(Invoices[[#This Row],[Part  '#]],Products[],3,0)</f>
        <v>Consumables</v>
      </c>
      <c r="R94" s="25">
        <f>Invoices[[#This Row],[Quantity]]*Invoices[[#This Row],[Unit Cost]]</f>
        <v>41.76</v>
      </c>
      <c r="S94" s="25">
        <f>Invoices[[#This Row],[Quantity]]*Invoices[[#This Row],[New Unit Price]]</f>
        <v>210</v>
      </c>
      <c r="T94" s="25">
        <f>Invoices[[#This Row],[Revenue]]-Invoices[[#This Row],[Cost]]</f>
        <v>168.24</v>
      </c>
      <c r="U94" s="25" t="str">
        <f>TEXT(Invoices[[#This Row],[Date]],"MMM")</f>
        <v>Apr</v>
      </c>
      <c r="V94" s="29">
        <f>CHOOSE(MONTH(Invoices[[#This Row],[Date]]),1,1,1,2,2,2,3,3,3,4,4,4)</f>
        <v>2</v>
      </c>
      <c r="W94" s="30">
        <f>IFERROR(Invoices[[#This Row],[Profit]]/Invoices[[#This Row],[Revenue]],0)</f>
        <v>0.80114285714285716</v>
      </c>
    </row>
    <row r="95" spans="1:23" x14ac:dyDescent="0.3">
      <c r="A95" s="19" t="s">
        <v>5</v>
      </c>
      <c r="B95" s="4">
        <v>22832</v>
      </c>
      <c r="C95" s="15">
        <v>41365</v>
      </c>
      <c r="D95" s="9">
        <v>117</v>
      </c>
      <c r="E95" s="10" t="s">
        <v>85</v>
      </c>
      <c r="F95" s="8">
        <v>2</v>
      </c>
      <c r="G95" s="10"/>
      <c r="H95" s="4" t="s">
        <v>125</v>
      </c>
      <c r="I95" s="4" t="s">
        <v>40</v>
      </c>
      <c r="J95" s="4">
        <v>3</v>
      </c>
      <c r="K95" s="23">
        <v>30</v>
      </c>
      <c r="L95">
        <f>IF(Invoices[[#This Row],[Document Type]]="Return",Invoices[[#This Row],[Unit Price]]*-1,Invoices[[#This Row],[Unit Price]])</f>
        <v>30</v>
      </c>
      <c r="M95" t="str">
        <f>IF(Invoices[[#This Row],[New Unit Price]]&lt;0,"Return",
IF(Invoices[[#This Row],[New Unit Price]]=0,"Free",IF(Invoices[[#This Row],[New Unit Price]]&lt;100,"Basic","Premium")))</f>
        <v>Basic</v>
      </c>
      <c r="N95">
        <f>VLOOKUP(Invoices[[#This Row],[Part  '#]],Products[],4,0)</f>
        <v>6.9</v>
      </c>
      <c r="O95" t="str">
        <f>VLOOKUP(Invoices[[#This Row],[Customer Account]],Customers[],4,0)</f>
        <v>Automotive</v>
      </c>
      <c r="P95" t="str">
        <f>VLOOKUP(Invoices[[#This Row],[Customer Account]],Customers[],3,0)</f>
        <v>Georgia</v>
      </c>
      <c r="Q95" t="str">
        <f>VLOOKUP(Invoices[[#This Row],[Part  '#]],Products[],3,0)</f>
        <v>Consumables</v>
      </c>
      <c r="R95" s="25">
        <f>Invoices[[#This Row],[Quantity]]*Invoices[[#This Row],[Unit Cost]]</f>
        <v>20.700000000000003</v>
      </c>
      <c r="S95" s="25">
        <f>Invoices[[#This Row],[Quantity]]*Invoices[[#This Row],[New Unit Price]]</f>
        <v>90</v>
      </c>
      <c r="T95" s="25">
        <f>Invoices[[#This Row],[Revenue]]-Invoices[[#This Row],[Cost]]</f>
        <v>69.3</v>
      </c>
      <c r="U95" s="25" t="str">
        <f>TEXT(Invoices[[#This Row],[Date]],"MMM")</f>
        <v>Apr</v>
      </c>
      <c r="V95" s="29">
        <f>CHOOSE(MONTH(Invoices[[#This Row],[Date]]),1,1,1,2,2,2,3,3,3,4,4,4)</f>
        <v>2</v>
      </c>
      <c r="W95" s="30">
        <f>IFERROR(Invoices[[#This Row],[Profit]]/Invoices[[#This Row],[Revenue]],0)</f>
        <v>0.77</v>
      </c>
    </row>
    <row r="96" spans="1:23" x14ac:dyDescent="0.3">
      <c r="A96" s="19" t="s">
        <v>5</v>
      </c>
      <c r="B96" s="4">
        <v>22832</v>
      </c>
      <c r="C96" s="15">
        <v>41365</v>
      </c>
      <c r="D96" s="9">
        <v>117</v>
      </c>
      <c r="E96" s="10" t="s">
        <v>85</v>
      </c>
      <c r="F96" s="8">
        <v>3</v>
      </c>
      <c r="G96" s="10"/>
      <c r="H96" s="4" t="s">
        <v>92</v>
      </c>
      <c r="I96" s="4" t="s">
        <v>10</v>
      </c>
      <c r="J96" s="4">
        <v>3</v>
      </c>
      <c r="K96" s="23">
        <v>1500</v>
      </c>
      <c r="L96">
        <f>IF(Invoices[[#This Row],[Document Type]]="Return",Invoices[[#This Row],[Unit Price]]*-1,Invoices[[#This Row],[Unit Price]])</f>
        <v>1500</v>
      </c>
      <c r="M96" t="str">
        <f>IF(Invoices[[#This Row],[New Unit Price]]&lt;0,"Return",
IF(Invoices[[#This Row],[New Unit Price]]=0,"Free",IF(Invoices[[#This Row],[New Unit Price]]&lt;100,"Basic","Premium")))</f>
        <v>Premium</v>
      </c>
      <c r="N96">
        <f>VLOOKUP(Invoices[[#This Row],[Part  '#]],Products[],4,0)</f>
        <v>899.1</v>
      </c>
      <c r="O96" t="str">
        <f>VLOOKUP(Invoices[[#This Row],[Customer Account]],Customers[],4,0)</f>
        <v>Automotive</v>
      </c>
      <c r="P96" t="str">
        <f>VLOOKUP(Invoices[[#This Row],[Customer Account]],Customers[],3,0)</f>
        <v>Georgia</v>
      </c>
      <c r="Q96" t="str">
        <f>VLOOKUP(Invoices[[#This Row],[Part  '#]],Products[],3,0)</f>
        <v>Product</v>
      </c>
      <c r="R96" s="25">
        <f>Invoices[[#This Row],[Quantity]]*Invoices[[#This Row],[Unit Cost]]</f>
        <v>2697.3</v>
      </c>
      <c r="S96" s="25">
        <f>Invoices[[#This Row],[Quantity]]*Invoices[[#This Row],[New Unit Price]]</f>
        <v>4500</v>
      </c>
      <c r="T96" s="25">
        <f>Invoices[[#This Row],[Revenue]]-Invoices[[#This Row],[Cost]]</f>
        <v>1802.6999999999998</v>
      </c>
      <c r="U96" s="25" t="str">
        <f>TEXT(Invoices[[#This Row],[Date]],"MMM")</f>
        <v>Apr</v>
      </c>
      <c r="V96" s="29">
        <f>CHOOSE(MONTH(Invoices[[#This Row],[Date]]),1,1,1,2,2,2,3,3,3,4,4,4)</f>
        <v>2</v>
      </c>
      <c r="W96" s="30">
        <f>IFERROR(Invoices[[#This Row],[Profit]]/Invoices[[#This Row],[Revenue]],0)</f>
        <v>0.40059999999999996</v>
      </c>
    </row>
    <row r="97" spans="1:23" x14ac:dyDescent="0.3">
      <c r="A97" s="19" t="s">
        <v>5</v>
      </c>
      <c r="B97" s="4">
        <v>22832</v>
      </c>
      <c r="C97" s="15">
        <v>41365</v>
      </c>
      <c r="D97" s="9">
        <v>117</v>
      </c>
      <c r="E97" s="10" t="s">
        <v>85</v>
      </c>
      <c r="F97" s="8">
        <v>4</v>
      </c>
      <c r="G97" s="10"/>
      <c r="H97" s="4" t="s">
        <v>110</v>
      </c>
      <c r="I97" s="4" t="s">
        <v>25</v>
      </c>
      <c r="J97" s="4">
        <v>3</v>
      </c>
      <c r="K97" s="23">
        <v>35</v>
      </c>
      <c r="L97">
        <f>IF(Invoices[[#This Row],[Document Type]]="Return",Invoices[[#This Row],[Unit Price]]*-1,Invoices[[#This Row],[Unit Price]])</f>
        <v>35</v>
      </c>
      <c r="M97" t="str">
        <f>IF(Invoices[[#This Row],[New Unit Price]]&lt;0,"Return",
IF(Invoices[[#This Row],[New Unit Price]]=0,"Free",IF(Invoices[[#This Row],[New Unit Price]]&lt;100,"Basic","Premium")))</f>
        <v>Basic</v>
      </c>
      <c r="N97">
        <f>VLOOKUP(Invoices[[#This Row],[Part  '#]],Products[],4,0)</f>
        <v>13.79</v>
      </c>
      <c r="O97" t="str">
        <f>VLOOKUP(Invoices[[#This Row],[Customer Account]],Customers[],4,0)</f>
        <v>Automotive</v>
      </c>
      <c r="P97" t="str">
        <f>VLOOKUP(Invoices[[#This Row],[Customer Account]],Customers[],3,0)</f>
        <v>Georgia</v>
      </c>
      <c r="Q97" t="str">
        <f>VLOOKUP(Invoices[[#This Row],[Part  '#]],Products[],3,0)</f>
        <v>Accessories</v>
      </c>
      <c r="R97" s="25">
        <f>Invoices[[#This Row],[Quantity]]*Invoices[[#This Row],[Unit Cost]]</f>
        <v>41.37</v>
      </c>
      <c r="S97" s="25">
        <f>Invoices[[#This Row],[Quantity]]*Invoices[[#This Row],[New Unit Price]]</f>
        <v>105</v>
      </c>
      <c r="T97" s="25">
        <f>Invoices[[#This Row],[Revenue]]-Invoices[[#This Row],[Cost]]</f>
        <v>63.63</v>
      </c>
      <c r="U97" s="25" t="str">
        <f>TEXT(Invoices[[#This Row],[Date]],"MMM")</f>
        <v>Apr</v>
      </c>
      <c r="V97" s="29">
        <f>CHOOSE(MONTH(Invoices[[#This Row],[Date]]),1,1,1,2,2,2,3,3,3,4,4,4)</f>
        <v>2</v>
      </c>
      <c r="W97" s="30">
        <f>IFERROR(Invoices[[#This Row],[Profit]]/Invoices[[#This Row],[Revenue]],0)</f>
        <v>0.60599999999999998</v>
      </c>
    </row>
    <row r="98" spans="1:23" x14ac:dyDescent="0.3">
      <c r="A98" s="19" t="s">
        <v>5</v>
      </c>
      <c r="B98" s="4">
        <v>22832</v>
      </c>
      <c r="C98" s="15">
        <v>41365</v>
      </c>
      <c r="D98" s="9">
        <v>117</v>
      </c>
      <c r="E98" s="10" t="s">
        <v>85</v>
      </c>
      <c r="F98" s="8">
        <v>5</v>
      </c>
      <c r="G98" s="10"/>
      <c r="H98" s="4" t="s">
        <v>117</v>
      </c>
      <c r="I98" s="4" t="s">
        <v>33</v>
      </c>
      <c r="J98" s="4">
        <v>3</v>
      </c>
      <c r="K98" s="23">
        <v>30</v>
      </c>
      <c r="L98">
        <f>IF(Invoices[[#This Row],[Document Type]]="Return",Invoices[[#This Row],[Unit Price]]*-1,Invoices[[#This Row],[Unit Price]])</f>
        <v>30</v>
      </c>
      <c r="M98" t="str">
        <f>IF(Invoices[[#This Row],[New Unit Price]]&lt;0,"Return",
IF(Invoices[[#This Row],[New Unit Price]]=0,"Free",IF(Invoices[[#This Row],[New Unit Price]]&lt;100,"Basic","Premium")))</f>
        <v>Basic</v>
      </c>
      <c r="N98">
        <f>VLOOKUP(Invoices[[#This Row],[Part  '#]],Products[],4,0)</f>
        <v>11.59</v>
      </c>
      <c r="O98" t="str">
        <f>VLOOKUP(Invoices[[#This Row],[Customer Account]],Customers[],4,0)</f>
        <v>Automotive</v>
      </c>
      <c r="P98" t="str">
        <f>VLOOKUP(Invoices[[#This Row],[Customer Account]],Customers[],3,0)</f>
        <v>Georgia</v>
      </c>
      <c r="Q98" t="str">
        <f>VLOOKUP(Invoices[[#This Row],[Part  '#]],Products[],3,0)</f>
        <v>Accessories</v>
      </c>
      <c r="R98" s="25">
        <f>Invoices[[#This Row],[Quantity]]*Invoices[[#This Row],[Unit Cost]]</f>
        <v>34.769999999999996</v>
      </c>
      <c r="S98" s="25">
        <f>Invoices[[#This Row],[Quantity]]*Invoices[[#This Row],[New Unit Price]]</f>
        <v>90</v>
      </c>
      <c r="T98" s="25">
        <f>Invoices[[#This Row],[Revenue]]-Invoices[[#This Row],[Cost]]</f>
        <v>55.230000000000004</v>
      </c>
      <c r="U98" s="25" t="str">
        <f>TEXT(Invoices[[#This Row],[Date]],"MMM")</f>
        <v>Apr</v>
      </c>
      <c r="V98" s="29">
        <f>CHOOSE(MONTH(Invoices[[#This Row],[Date]]),1,1,1,2,2,2,3,3,3,4,4,4)</f>
        <v>2</v>
      </c>
      <c r="W98" s="30">
        <f>IFERROR(Invoices[[#This Row],[Profit]]/Invoices[[#This Row],[Revenue]],0)</f>
        <v>0.61366666666666669</v>
      </c>
    </row>
    <row r="99" spans="1:23" x14ac:dyDescent="0.3">
      <c r="A99" s="19" t="s">
        <v>5</v>
      </c>
      <c r="B99" s="4">
        <v>22832</v>
      </c>
      <c r="C99" s="15">
        <v>41365</v>
      </c>
      <c r="D99" s="9">
        <v>117</v>
      </c>
      <c r="E99" s="10" t="s">
        <v>85</v>
      </c>
      <c r="F99" s="8">
        <v>6</v>
      </c>
      <c r="G99" s="10"/>
      <c r="H99" s="4" t="s">
        <v>119</v>
      </c>
      <c r="I99" s="4" t="s">
        <v>43</v>
      </c>
      <c r="J99" s="4">
        <v>3</v>
      </c>
      <c r="K99" s="23">
        <v>60</v>
      </c>
      <c r="L99">
        <f>IF(Invoices[[#This Row],[Document Type]]="Return",Invoices[[#This Row],[Unit Price]]*-1,Invoices[[#This Row],[Unit Price]])</f>
        <v>60</v>
      </c>
      <c r="M99" t="str">
        <f>IF(Invoices[[#This Row],[New Unit Price]]&lt;0,"Return",
IF(Invoices[[#This Row],[New Unit Price]]=0,"Free",IF(Invoices[[#This Row],[New Unit Price]]&lt;100,"Basic","Premium")))</f>
        <v>Basic</v>
      </c>
      <c r="N99">
        <f>VLOOKUP(Invoices[[#This Row],[Part  '#]],Products[],4,0)</f>
        <v>17.22</v>
      </c>
      <c r="O99" t="str">
        <f>VLOOKUP(Invoices[[#This Row],[Customer Account]],Customers[],4,0)</f>
        <v>Automotive</v>
      </c>
      <c r="P99" t="str">
        <f>VLOOKUP(Invoices[[#This Row],[Customer Account]],Customers[],3,0)</f>
        <v>Georgia</v>
      </c>
      <c r="Q99" t="str">
        <f>VLOOKUP(Invoices[[#This Row],[Part  '#]],Products[],3,0)</f>
        <v>Accessories</v>
      </c>
      <c r="R99" s="25">
        <f>Invoices[[#This Row],[Quantity]]*Invoices[[#This Row],[Unit Cost]]</f>
        <v>51.66</v>
      </c>
      <c r="S99" s="25">
        <f>Invoices[[#This Row],[Quantity]]*Invoices[[#This Row],[New Unit Price]]</f>
        <v>180</v>
      </c>
      <c r="T99" s="25">
        <f>Invoices[[#This Row],[Revenue]]-Invoices[[#This Row],[Cost]]</f>
        <v>128.34</v>
      </c>
      <c r="U99" s="25" t="str">
        <f>TEXT(Invoices[[#This Row],[Date]],"MMM")</f>
        <v>Apr</v>
      </c>
      <c r="V99" s="29">
        <f>CHOOSE(MONTH(Invoices[[#This Row],[Date]]),1,1,1,2,2,2,3,3,3,4,4,4)</f>
        <v>2</v>
      </c>
      <c r="W99" s="30">
        <f>IFERROR(Invoices[[#This Row],[Profit]]/Invoices[[#This Row],[Revenue]],0)</f>
        <v>0.71299999999999997</v>
      </c>
    </row>
    <row r="100" spans="1:23" x14ac:dyDescent="0.3">
      <c r="A100" s="19" t="s">
        <v>5</v>
      </c>
      <c r="B100" s="4">
        <v>22833</v>
      </c>
      <c r="C100" s="15">
        <v>41377</v>
      </c>
      <c r="D100" s="9">
        <v>116</v>
      </c>
      <c r="E100" s="10" t="s">
        <v>84</v>
      </c>
      <c r="F100" s="8">
        <v>1</v>
      </c>
      <c r="G100" s="10"/>
      <c r="H100" s="4" t="s">
        <v>90</v>
      </c>
      <c r="I100" s="4" t="s">
        <v>88</v>
      </c>
      <c r="J100" s="4">
        <v>3</v>
      </c>
      <c r="K100" s="23">
        <v>500</v>
      </c>
      <c r="L100">
        <f>IF(Invoices[[#This Row],[Document Type]]="Return",Invoices[[#This Row],[Unit Price]]*-1,Invoices[[#This Row],[Unit Price]])</f>
        <v>500</v>
      </c>
      <c r="M100" t="str">
        <f>IF(Invoices[[#This Row],[New Unit Price]]&lt;0,"Return",
IF(Invoices[[#This Row],[New Unit Price]]=0,"Free",IF(Invoices[[#This Row],[New Unit Price]]&lt;100,"Basic","Premium")))</f>
        <v>Premium</v>
      </c>
      <c r="N100">
        <f>VLOOKUP(Invoices[[#This Row],[Part  '#]],Products[],4,0)</f>
        <v>295.10000000000002</v>
      </c>
      <c r="O100" t="str">
        <f>VLOOKUP(Invoices[[#This Row],[Customer Account]],Customers[],4,0)</f>
        <v>Automotive</v>
      </c>
      <c r="P100" t="str">
        <f>VLOOKUP(Invoices[[#This Row],[Customer Account]],Customers[],3,0)</f>
        <v>Tennessee</v>
      </c>
      <c r="Q100" t="str">
        <f>VLOOKUP(Invoices[[#This Row],[Part  '#]],Products[],3,0)</f>
        <v>Product</v>
      </c>
      <c r="R100" s="25">
        <f>Invoices[[#This Row],[Quantity]]*Invoices[[#This Row],[Unit Cost]]</f>
        <v>885.30000000000007</v>
      </c>
      <c r="S100" s="25">
        <f>Invoices[[#This Row],[Quantity]]*Invoices[[#This Row],[New Unit Price]]</f>
        <v>1500</v>
      </c>
      <c r="T100" s="25">
        <f>Invoices[[#This Row],[Revenue]]-Invoices[[#This Row],[Cost]]</f>
        <v>614.69999999999993</v>
      </c>
      <c r="U100" s="25" t="str">
        <f>TEXT(Invoices[[#This Row],[Date]],"MMM")</f>
        <v>Apr</v>
      </c>
      <c r="V100" s="29">
        <f>CHOOSE(MONTH(Invoices[[#This Row],[Date]]),1,1,1,2,2,2,3,3,3,4,4,4)</f>
        <v>2</v>
      </c>
      <c r="W100" s="30">
        <f>IFERROR(Invoices[[#This Row],[Profit]]/Invoices[[#This Row],[Revenue]],0)</f>
        <v>0.40979999999999994</v>
      </c>
    </row>
    <row r="101" spans="1:23" x14ac:dyDescent="0.3">
      <c r="A101" s="19" t="s">
        <v>5</v>
      </c>
      <c r="B101" s="4">
        <v>22833</v>
      </c>
      <c r="C101" s="15">
        <v>41377</v>
      </c>
      <c r="D101" s="9">
        <v>116</v>
      </c>
      <c r="E101" s="10" t="s">
        <v>84</v>
      </c>
      <c r="F101" s="8">
        <v>2</v>
      </c>
      <c r="G101" s="10"/>
      <c r="H101" s="4" t="s">
        <v>109</v>
      </c>
      <c r="I101" s="4" t="s">
        <v>24</v>
      </c>
      <c r="J101" s="4">
        <v>3</v>
      </c>
      <c r="K101" s="23">
        <v>25</v>
      </c>
      <c r="L101">
        <f>IF(Invoices[[#This Row],[Document Type]]="Return",Invoices[[#This Row],[Unit Price]]*-1,Invoices[[#This Row],[Unit Price]])</f>
        <v>25</v>
      </c>
      <c r="M101" t="str">
        <f>IF(Invoices[[#This Row],[New Unit Price]]&lt;0,"Return",
IF(Invoices[[#This Row],[New Unit Price]]=0,"Free",IF(Invoices[[#This Row],[New Unit Price]]&lt;100,"Basic","Premium")))</f>
        <v>Basic</v>
      </c>
      <c r="N101">
        <f>VLOOKUP(Invoices[[#This Row],[Part  '#]],Products[],4,0)</f>
        <v>12.17</v>
      </c>
      <c r="O101" t="str">
        <f>VLOOKUP(Invoices[[#This Row],[Customer Account]],Customers[],4,0)</f>
        <v>Automotive</v>
      </c>
      <c r="P101" t="str">
        <f>VLOOKUP(Invoices[[#This Row],[Customer Account]],Customers[],3,0)</f>
        <v>Tennessee</v>
      </c>
      <c r="Q101" t="str">
        <f>VLOOKUP(Invoices[[#This Row],[Part  '#]],Products[],3,0)</f>
        <v>Accessories</v>
      </c>
      <c r="R101" s="25">
        <f>Invoices[[#This Row],[Quantity]]*Invoices[[#This Row],[Unit Cost]]</f>
        <v>36.51</v>
      </c>
      <c r="S101" s="25">
        <f>Invoices[[#This Row],[Quantity]]*Invoices[[#This Row],[New Unit Price]]</f>
        <v>75</v>
      </c>
      <c r="T101" s="25">
        <f>Invoices[[#This Row],[Revenue]]-Invoices[[#This Row],[Cost]]</f>
        <v>38.49</v>
      </c>
      <c r="U101" s="25" t="str">
        <f>TEXT(Invoices[[#This Row],[Date]],"MMM")</f>
        <v>Apr</v>
      </c>
      <c r="V101" s="29">
        <f>CHOOSE(MONTH(Invoices[[#This Row],[Date]]),1,1,1,2,2,2,3,3,3,4,4,4)</f>
        <v>2</v>
      </c>
      <c r="W101" s="30">
        <f>IFERROR(Invoices[[#This Row],[Profit]]/Invoices[[#This Row],[Revenue]],0)</f>
        <v>0.51319999999999999</v>
      </c>
    </row>
    <row r="102" spans="1:23" x14ac:dyDescent="0.3">
      <c r="A102" s="19" t="s">
        <v>5</v>
      </c>
      <c r="B102" s="4">
        <v>22833</v>
      </c>
      <c r="C102" s="15">
        <v>41377</v>
      </c>
      <c r="D102" s="9">
        <v>116</v>
      </c>
      <c r="E102" s="10" t="s">
        <v>84</v>
      </c>
      <c r="F102" s="8">
        <v>3</v>
      </c>
      <c r="G102" s="10"/>
      <c r="H102" s="4" t="s">
        <v>116</v>
      </c>
      <c r="I102" s="4" t="s">
        <v>32</v>
      </c>
      <c r="J102" s="4">
        <v>3</v>
      </c>
      <c r="K102" s="23">
        <v>20</v>
      </c>
      <c r="L102">
        <f>IF(Invoices[[#This Row],[Document Type]]="Return",Invoices[[#This Row],[Unit Price]]*-1,Invoices[[#This Row],[Unit Price]])</f>
        <v>20</v>
      </c>
      <c r="M102" t="str">
        <f>IF(Invoices[[#This Row],[New Unit Price]]&lt;0,"Return",
IF(Invoices[[#This Row],[New Unit Price]]=0,"Free",IF(Invoices[[#This Row],[New Unit Price]]&lt;100,"Basic","Premium")))</f>
        <v>Basic</v>
      </c>
      <c r="N102">
        <f>VLOOKUP(Invoices[[#This Row],[Part  '#]],Products[],4,0)</f>
        <v>8.15</v>
      </c>
      <c r="O102" t="str">
        <f>VLOOKUP(Invoices[[#This Row],[Customer Account]],Customers[],4,0)</f>
        <v>Automotive</v>
      </c>
      <c r="P102" t="str">
        <f>VLOOKUP(Invoices[[#This Row],[Customer Account]],Customers[],3,0)</f>
        <v>Tennessee</v>
      </c>
      <c r="Q102" t="str">
        <f>VLOOKUP(Invoices[[#This Row],[Part  '#]],Products[],3,0)</f>
        <v>Accessories</v>
      </c>
      <c r="R102" s="25">
        <f>Invoices[[#This Row],[Quantity]]*Invoices[[#This Row],[Unit Cost]]</f>
        <v>24.450000000000003</v>
      </c>
      <c r="S102" s="25">
        <f>Invoices[[#This Row],[Quantity]]*Invoices[[#This Row],[New Unit Price]]</f>
        <v>60</v>
      </c>
      <c r="T102" s="25">
        <f>Invoices[[#This Row],[Revenue]]-Invoices[[#This Row],[Cost]]</f>
        <v>35.549999999999997</v>
      </c>
      <c r="U102" s="25" t="str">
        <f>TEXT(Invoices[[#This Row],[Date]],"MMM")</f>
        <v>Apr</v>
      </c>
      <c r="V102" s="29">
        <f>CHOOSE(MONTH(Invoices[[#This Row],[Date]]),1,1,1,2,2,2,3,3,3,4,4,4)</f>
        <v>2</v>
      </c>
      <c r="W102" s="30">
        <f>IFERROR(Invoices[[#This Row],[Profit]]/Invoices[[#This Row],[Revenue]],0)</f>
        <v>0.59249999999999992</v>
      </c>
    </row>
    <row r="103" spans="1:23" x14ac:dyDescent="0.3">
      <c r="A103" s="19" t="s">
        <v>5</v>
      </c>
      <c r="B103" s="4">
        <v>22833</v>
      </c>
      <c r="C103" s="15">
        <v>41377</v>
      </c>
      <c r="D103" s="9">
        <v>116</v>
      </c>
      <c r="E103" s="10" t="s">
        <v>84</v>
      </c>
      <c r="F103" s="8">
        <v>4</v>
      </c>
      <c r="G103" s="10"/>
      <c r="H103" s="4" t="s">
        <v>118</v>
      </c>
      <c r="I103" s="4" t="s">
        <v>42</v>
      </c>
      <c r="J103" s="4">
        <v>3</v>
      </c>
      <c r="K103" s="23">
        <v>40</v>
      </c>
      <c r="L103">
        <f>IF(Invoices[[#This Row],[Document Type]]="Return",Invoices[[#This Row],[Unit Price]]*-1,Invoices[[#This Row],[Unit Price]])</f>
        <v>40</v>
      </c>
      <c r="M103" t="str">
        <f>IF(Invoices[[#This Row],[New Unit Price]]&lt;0,"Return",
IF(Invoices[[#This Row],[New Unit Price]]=0,"Free",IF(Invoices[[#This Row],[New Unit Price]]&lt;100,"Basic","Premium")))</f>
        <v>Basic</v>
      </c>
      <c r="N103">
        <f>VLOOKUP(Invoices[[#This Row],[Part  '#]],Products[],4,0)</f>
        <v>12.33</v>
      </c>
      <c r="O103" t="str">
        <f>VLOOKUP(Invoices[[#This Row],[Customer Account]],Customers[],4,0)</f>
        <v>Automotive</v>
      </c>
      <c r="P103" t="str">
        <f>VLOOKUP(Invoices[[#This Row],[Customer Account]],Customers[],3,0)</f>
        <v>Tennessee</v>
      </c>
      <c r="Q103" t="str">
        <f>VLOOKUP(Invoices[[#This Row],[Part  '#]],Products[],3,0)</f>
        <v>Accessories</v>
      </c>
      <c r="R103" s="25">
        <f>Invoices[[#This Row],[Quantity]]*Invoices[[#This Row],[Unit Cost]]</f>
        <v>36.99</v>
      </c>
      <c r="S103" s="25">
        <f>Invoices[[#This Row],[Quantity]]*Invoices[[#This Row],[New Unit Price]]</f>
        <v>120</v>
      </c>
      <c r="T103" s="25">
        <f>Invoices[[#This Row],[Revenue]]-Invoices[[#This Row],[Cost]]</f>
        <v>83.009999999999991</v>
      </c>
      <c r="U103" s="25" t="str">
        <f>TEXT(Invoices[[#This Row],[Date]],"MMM")</f>
        <v>Apr</v>
      </c>
      <c r="V103" s="29">
        <f>CHOOSE(MONTH(Invoices[[#This Row],[Date]]),1,1,1,2,2,2,3,3,3,4,4,4)</f>
        <v>2</v>
      </c>
      <c r="W103" s="30">
        <f>IFERROR(Invoices[[#This Row],[Profit]]/Invoices[[#This Row],[Revenue]],0)</f>
        <v>0.69174999999999998</v>
      </c>
    </row>
    <row r="104" spans="1:23" x14ac:dyDescent="0.3">
      <c r="A104" s="19" t="s">
        <v>5</v>
      </c>
      <c r="B104" s="4">
        <v>22833</v>
      </c>
      <c r="C104" s="15">
        <v>41377</v>
      </c>
      <c r="D104" s="9">
        <v>116</v>
      </c>
      <c r="E104" s="10" t="s">
        <v>84</v>
      </c>
      <c r="F104" s="8">
        <v>5</v>
      </c>
      <c r="G104" s="10"/>
      <c r="H104" s="4" t="s">
        <v>120</v>
      </c>
      <c r="I104" s="4" t="s">
        <v>54</v>
      </c>
      <c r="J104" s="4">
        <v>1</v>
      </c>
      <c r="K104" s="23">
        <v>250</v>
      </c>
      <c r="L104">
        <f>IF(Invoices[[#This Row],[Document Type]]="Return",Invoices[[#This Row],[Unit Price]]*-1,Invoices[[#This Row],[Unit Price]])</f>
        <v>250</v>
      </c>
      <c r="M104" t="str">
        <f>IF(Invoices[[#This Row],[New Unit Price]]&lt;0,"Return",
IF(Invoices[[#This Row],[New Unit Price]]=0,"Free",IF(Invoices[[#This Row],[New Unit Price]]&lt;100,"Basic","Premium")))</f>
        <v>Premium</v>
      </c>
      <c r="N104">
        <f>VLOOKUP(Invoices[[#This Row],[Part  '#]],Products[],4,0)</f>
        <v>89.7</v>
      </c>
      <c r="O104" t="str">
        <f>VLOOKUP(Invoices[[#This Row],[Customer Account]],Customers[],4,0)</f>
        <v>Automotive</v>
      </c>
      <c r="P104" t="str">
        <f>VLOOKUP(Invoices[[#This Row],[Customer Account]],Customers[],3,0)</f>
        <v>Tennessee</v>
      </c>
      <c r="Q104" t="str">
        <f>VLOOKUP(Invoices[[#This Row],[Part  '#]],Products[],3,0)</f>
        <v>Accessories</v>
      </c>
      <c r="R104" s="25">
        <f>Invoices[[#This Row],[Quantity]]*Invoices[[#This Row],[Unit Cost]]</f>
        <v>89.7</v>
      </c>
      <c r="S104" s="25">
        <f>Invoices[[#This Row],[Quantity]]*Invoices[[#This Row],[New Unit Price]]</f>
        <v>250</v>
      </c>
      <c r="T104" s="25">
        <f>Invoices[[#This Row],[Revenue]]-Invoices[[#This Row],[Cost]]</f>
        <v>160.30000000000001</v>
      </c>
      <c r="U104" s="25" t="str">
        <f>TEXT(Invoices[[#This Row],[Date]],"MMM")</f>
        <v>Apr</v>
      </c>
      <c r="V104" s="29">
        <f>CHOOSE(MONTH(Invoices[[#This Row],[Date]]),1,1,1,2,2,2,3,3,3,4,4,4)</f>
        <v>2</v>
      </c>
      <c r="W104" s="30">
        <f>IFERROR(Invoices[[#This Row],[Profit]]/Invoices[[#This Row],[Revenue]],0)</f>
        <v>0.64119999999999999</v>
      </c>
    </row>
    <row r="105" spans="1:23" x14ac:dyDescent="0.3">
      <c r="A105" s="19" t="s">
        <v>5</v>
      </c>
      <c r="B105" s="4">
        <v>22833</v>
      </c>
      <c r="C105" s="15">
        <v>41377</v>
      </c>
      <c r="D105" s="9">
        <v>116</v>
      </c>
      <c r="E105" s="10" t="s">
        <v>84</v>
      </c>
      <c r="F105" s="8">
        <v>6</v>
      </c>
      <c r="G105" s="10"/>
      <c r="H105" s="4" t="s">
        <v>123</v>
      </c>
      <c r="I105" s="4" t="s">
        <v>38</v>
      </c>
      <c r="J105" s="4">
        <v>9</v>
      </c>
      <c r="K105" s="23">
        <v>20</v>
      </c>
      <c r="L105">
        <f>IF(Invoices[[#This Row],[Document Type]]="Return",Invoices[[#This Row],[Unit Price]]*-1,Invoices[[#This Row],[Unit Price]])</f>
        <v>20</v>
      </c>
      <c r="M105" t="str">
        <f>IF(Invoices[[#This Row],[New Unit Price]]&lt;0,"Return",
IF(Invoices[[#This Row],[New Unit Price]]=0,"Free",IF(Invoices[[#This Row],[New Unit Price]]&lt;100,"Basic","Premium")))</f>
        <v>Basic</v>
      </c>
      <c r="N105">
        <f>VLOOKUP(Invoices[[#This Row],[Part  '#]],Products[],4,0)</f>
        <v>4.58</v>
      </c>
      <c r="O105" t="str">
        <f>VLOOKUP(Invoices[[#This Row],[Customer Account]],Customers[],4,0)</f>
        <v>Automotive</v>
      </c>
      <c r="P105" t="str">
        <f>VLOOKUP(Invoices[[#This Row],[Customer Account]],Customers[],3,0)</f>
        <v>Tennessee</v>
      </c>
      <c r="Q105" t="str">
        <f>VLOOKUP(Invoices[[#This Row],[Part  '#]],Products[],3,0)</f>
        <v>Consumables</v>
      </c>
      <c r="R105" s="25">
        <f>Invoices[[#This Row],[Quantity]]*Invoices[[#This Row],[Unit Cost]]</f>
        <v>41.22</v>
      </c>
      <c r="S105" s="25">
        <f>Invoices[[#This Row],[Quantity]]*Invoices[[#This Row],[New Unit Price]]</f>
        <v>180</v>
      </c>
      <c r="T105" s="25">
        <f>Invoices[[#This Row],[Revenue]]-Invoices[[#This Row],[Cost]]</f>
        <v>138.78</v>
      </c>
      <c r="U105" s="25" t="str">
        <f>TEXT(Invoices[[#This Row],[Date]],"MMM")</f>
        <v>Apr</v>
      </c>
      <c r="V105" s="29">
        <f>CHOOSE(MONTH(Invoices[[#This Row],[Date]]),1,1,1,2,2,2,3,3,3,4,4,4)</f>
        <v>2</v>
      </c>
      <c r="W105" s="30">
        <f>IFERROR(Invoices[[#This Row],[Profit]]/Invoices[[#This Row],[Revenue]],0)</f>
        <v>0.77100000000000002</v>
      </c>
    </row>
    <row r="106" spans="1:23" x14ac:dyDescent="0.3">
      <c r="A106" s="19" t="s">
        <v>5</v>
      </c>
      <c r="B106" s="4">
        <v>22834</v>
      </c>
      <c r="C106" s="15">
        <v>41378</v>
      </c>
      <c r="D106" s="9">
        <v>103</v>
      </c>
      <c r="E106" s="10" t="s">
        <v>71</v>
      </c>
      <c r="F106" s="8">
        <v>1</v>
      </c>
      <c r="G106" s="10"/>
      <c r="H106" s="4" t="s">
        <v>92</v>
      </c>
      <c r="I106" s="4" t="s">
        <v>10</v>
      </c>
      <c r="J106" s="4">
        <v>1</v>
      </c>
      <c r="K106" s="23">
        <v>1500</v>
      </c>
      <c r="L106">
        <f>IF(Invoices[[#This Row],[Document Type]]="Return",Invoices[[#This Row],[Unit Price]]*-1,Invoices[[#This Row],[Unit Price]])</f>
        <v>1500</v>
      </c>
      <c r="M106" t="str">
        <f>IF(Invoices[[#This Row],[New Unit Price]]&lt;0,"Return",
IF(Invoices[[#This Row],[New Unit Price]]=0,"Free",IF(Invoices[[#This Row],[New Unit Price]]&lt;100,"Basic","Premium")))</f>
        <v>Premium</v>
      </c>
      <c r="N106">
        <f>VLOOKUP(Invoices[[#This Row],[Part  '#]],Products[],4,0)</f>
        <v>899.1</v>
      </c>
      <c r="O106" t="str">
        <f>VLOOKUP(Invoices[[#This Row],[Customer Account]],Customers[],4,0)</f>
        <v>Financial</v>
      </c>
      <c r="P106" t="str">
        <f>VLOOKUP(Invoices[[#This Row],[Customer Account]],Customers[],3,0)</f>
        <v>Florida</v>
      </c>
      <c r="Q106" t="str">
        <f>VLOOKUP(Invoices[[#This Row],[Part  '#]],Products[],3,0)</f>
        <v>Product</v>
      </c>
      <c r="R106" s="25">
        <f>Invoices[[#This Row],[Quantity]]*Invoices[[#This Row],[Unit Cost]]</f>
        <v>899.1</v>
      </c>
      <c r="S106" s="25">
        <f>Invoices[[#This Row],[Quantity]]*Invoices[[#This Row],[New Unit Price]]</f>
        <v>1500</v>
      </c>
      <c r="T106" s="25">
        <f>Invoices[[#This Row],[Revenue]]-Invoices[[#This Row],[Cost]]</f>
        <v>600.9</v>
      </c>
      <c r="U106" s="25" t="str">
        <f>TEXT(Invoices[[#This Row],[Date]],"MMM")</f>
        <v>Apr</v>
      </c>
      <c r="V106" s="29">
        <f>CHOOSE(MONTH(Invoices[[#This Row],[Date]]),1,1,1,2,2,2,3,3,3,4,4,4)</f>
        <v>2</v>
      </c>
      <c r="W106" s="30">
        <f>IFERROR(Invoices[[#This Row],[Profit]]/Invoices[[#This Row],[Revenue]],0)</f>
        <v>0.40060000000000001</v>
      </c>
    </row>
    <row r="107" spans="1:23" x14ac:dyDescent="0.3">
      <c r="A107" s="19" t="s">
        <v>5</v>
      </c>
      <c r="B107" s="4">
        <v>22834</v>
      </c>
      <c r="C107" s="15">
        <v>41378</v>
      </c>
      <c r="D107" s="9">
        <v>103</v>
      </c>
      <c r="E107" s="10" t="s">
        <v>71</v>
      </c>
      <c r="F107" s="8">
        <v>2</v>
      </c>
      <c r="G107" s="10"/>
      <c r="H107" s="4" t="s">
        <v>109</v>
      </c>
      <c r="I107" s="4" t="s">
        <v>24</v>
      </c>
      <c r="J107" s="4">
        <v>1</v>
      </c>
      <c r="K107" s="23">
        <v>25</v>
      </c>
      <c r="L107">
        <f>IF(Invoices[[#This Row],[Document Type]]="Return",Invoices[[#This Row],[Unit Price]]*-1,Invoices[[#This Row],[Unit Price]])</f>
        <v>25</v>
      </c>
      <c r="M107" t="str">
        <f>IF(Invoices[[#This Row],[New Unit Price]]&lt;0,"Return",
IF(Invoices[[#This Row],[New Unit Price]]=0,"Free",IF(Invoices[[#This Row],[New Unit Price]]&lt;100,"Basic","Premium")))</f>
        <v>Basic</v>
      </c>
      <c r="N107">
        <f>VLOOKUP(Invoices[[#This Row],[Part  '#]],Products[],4,0)</f>
        <v>12.17</v>
      </c>
      <c r="O107" t="str">
        <f>VLOOKUP(Invoices[[#This Row],[Customer Account]],Customers[],4,0)</f>
        <v>Financial</v>
      </c>
      <c r="P107" t="str">
        <f>VLOOKUP(Invoices[[#This Row],[Customer Account]],Customers[],3,0)</f>
        <v>Florida</v>
      </c>
      <c r="Q107" t="str">
        <f>VLOOKUP(Invoices[[#This Row],[Part  '#]],Products[],3,0)</f>
        <v>Accessories</v>
      </c>
      <c r="R107" s="25">
        <f>Invoices[[#This Row],[Quantity]]*Invoices[[#This Row],[Unit Cost]]</f>
        <v>12.17</v>
      </c>
      <c r="S107" s="25">
        <f>Invoices[[#This Row],[Quantity]]*Invoices[[#This Row],[New Unit Price]]</f>
        <v>25</v>
      </c>
      <c r="T107" s="25">
        <f>Invoices[[#This Row],[Revenue]]-Invoices[[#This Row],[Cost]]</f>
        <v>12.83</v>
      </c>
      <c r="U107" s="25" t="str">
        <f>TEXT(Invoices[[#This Row],[Date]],"MMM")</f>
        <v>Apr</v>
      </c>
      <c r="V107" s="29">
        <f>CHOOSE(MONTH(Invoices[[#This Row],[Date]]),1,1,1,2,2,2,3,3,3,4,4,4)</f>
        <v>2</v>
      </c>
      <c r="W107" s="30">
        <f>IFERROR(Invoices[[#This Row],[Profit]]/Invoices[[#This Row],[Revenue]],0)</f>
        <v>0.51319999999999999</v>
      </c>
    </row>
    <row r="108" spans="1:23" x14ac:dyDescent="0.3">
      <c r="A108" s="19" t="s">
        <v>5</v>
      </c>
      <c r="B108" s="4">
        <v>22834</v>
      </c>
      <c r="C108" s="15">
        <v>41378</v>
      </c>
      <c r="D108" s="9">
        <v>103</v>
      </c>
      <c r="E108" s="10" t="s">
        <v>71</v>
      </c>
      <c r="F108" s="8">
        <v>3</v>
      </c>
      <c r="G108" s="10"/>
      <c r="H108" s="4" t="s">
        <v>116</v>
      </c>
      <c r="I108" s="4" t="s">
        <v>32</v>
      </c>
      <c r="J108" s="4">
        <v>1</v>
      </c>
      <c r="K108" s="23">
        <v>20</v>
      </c>
      <c r="L108">
        <f>IF(Invoices[[#This Row],[Document Type]]="Return",Invoices[[#This Row],[Unit Price]]*-1,Invoices[[#This Row],[Unit Price]])</f>
        <v>20</v>
      </c>
      <c r="M108" t="str">
        <f>IF(Invoices[[#This Row],[New Unit Price]]&lt;0,"Return",
IF(Invoices[[#This Row],[New Unit Price]]=0,"Free",IF(Invoices[[#This Row],[New Unit Price]]&lt;100,"Basic","Premium")))</f>
        <v>Basic</v>
      </c>
      <c r="N108">
        <f>VLOOKUP(Invoices[[#This Row],[Part  '#]],Products[],4,0)</f>
        <v>8.15</v>
      </c>
      <c r="O108" t="str">
        <f>VLOOKUP(Invoices[[#This Row],[Customer Account]],Customers[],4,0)</f>
        <v>Financial</v>
      </c>
      <c r="P108" t="str">
        <f>VLOOKUP(Invoices[[#This Row],[Customer Account]],Customers[],3,0)</f>
        <v>Florida</v>
      </c>
      <c r="Q108" t="str">
        <f>VLOOKUP(Invoices[[#This Row],[Part  '#]],Products[],3,0)</f>
        <v>Accessories</v>
      </c>
      <c r="R108" s="25">
        <f>Invoices[[#This Row],[Quantity]]*Invoices[[#This Row],[Unit Cost]]</f>
        <v>8.15</v>
      </c>
      <c r="S108" s="25">
        <f>Invoices[[#This Row],[Quantity]]*Invoices[[#This Row],[New Unit Price]]</f>
        <v>20</v>
      </c>
      <c r="T108" s="25">
        <f>Invoices[[#This Row],[Revenue]]-Invoices[[#This Row],[Cost]]</f>
        <v>11.85</v>
      </c>
      <c r="U108" s="25" t="str">
        <f>TEXT(Invoices[[#This Row],[Date]],"MMM")</f>
        <v>Apr</v>
      </c>
      <c r="V108" s="29">
        <f>CHOOSE(MONTH(Invoices[[#This Row],[Date]]),1,1,1,2,2,2,3,3,3,4,4,4)</f>
        <v>2</v>
      </c>
      <c r="W108" s="30">
        <f>IFERROR(Invoices[[#This Row],[Profit]]/Invoices[[#This Row],[Revenue]],0)</f>
        <v>0.59250000000000003</v>
      </c>
    </row>
    <row r="109" spans="1:23" x14ac:dyDescent="0.3">
      <c r="A109" s="19" t="s">
        <v>5</v>
      </c>
      <c r="B109" s="4">
        <v>22834</v>
      </c>
      <c r="C109" s="15">
        <v>41378</v>
      </c>
      <c r="D109" s="9">
        <v>103</v>
      </c>
      <c r="E109" s="10" t="s">
        <v>71</v>
      </c>
      <c r="F109" s="8">
        <v>4</v>
      </c>
      <c r="G109" s="10"/>
      <c r="H109" s="4" t="s">
        <v>118</v>
      </c>
      <c r="I109" s="4" t="s">
        <v>42</v>
      </c>
      <c r="J109" s="4">
        <v>1</v>
      </c>
      <c r="K109" s="23">
        <v>40</v>
      </c>
      <c r="L109">
        <f>IF(Invoices[[#This Row],[Document Type]]="Return",Invoices[[#This Row],[Unit Price]]*-1,Invoices[[#This Row],[Unit Price]])</f>
        <v>40</v>
      </c>
      <c r="M109" t="str">
        <f>IF(Invoices[[#This Row],[New Unit Price]]&lt;0,"Return",
IF(Invoices[[#This Row],[New Unit Price]]=0,"Free",IF(Invoices[[#This Row],[New Unit Price]]&lt;100,"Basic","Premium")))</f>
        <v>Basic</v>
      </c>
      <c r="N109">
        <f>VLOOKUP(Invoices[[#This Row],[Part  '#]],Products[],4,0)</f>
        <v>12.33</v>
      </c>
      <c r="O109" t="str">
        <f>VLOOKUP(Invoices[[#This Row],[Customer Account]],Customers[],4,0)</f>
        <v>Financial</v>
      </c>
      <c r="P109" t="str">
        <f>VLOOKUP(Invoices[[#This Row],[Customer Account]],Customers[],3,0)</f>
        <v>Florida</v>
      </c>
      <c r="Q109" t="str">
        <f>VLOOKUP(Invoices[[#This Row],[Part  '#]],Products[],3,0)</f>
        <v>Accessories</v>
      </c>
      <c r="R109" s="25">
        <f>Invoices[[#This Row],[Quantity]]*Invoices[[#This Row],[Unit Cost]]</f>
        <v>12.33</v>
      </c>
      <c r="S109" s="25">
        <f>Invoices[[#This Row],[Quantity]]*Invoices[[#This Row],[New Unit Price]]</f>
        <v>40</v>
      </c>
      <c r="T109" s="25">
        <f>Invoices[[#This Row],[Revenue]]-Invoices[[#This Row],[Cost]]</f>
        <v>27.67</v>
      </c>
      <c r="U109" s="25" t="str">
        <f>TEXT(Invoices[[#This Row],[Date]],"MMM")</f>
        <v>Apr</v>
      </c>
      <c r="V109" s="29">
        <f>CHOOSE(MONTH(Invoices[[#This Row],[Date]]),1,1,1,2,2,2,3,3,3,4,4,4)</f>
        <v>2</v>
      </c>
      <c r="W109" s="30">
        <f>IFERROR(Invoices[[#This Row],[Profit]]/Invoices[[#This Row],[Revenue]],0)</f>
        <v>0.69175000000000009</v>
      </c>
    </row>
    <row r="110" spans="1:23" x14ac:dyDescent="0.3">
      <c r="A110" s="19" t="s">
        <v>5</v>
      </c>
      <c r="B110" s="4">
        <v>22834</v>
      </c>
      <c r="C110" s="15">
        <v>41378</v>
      </c>
      <c r="D110" s="9">
        <v>103</v>
      </c>
      <c r="E110" s="10" t="s">
        <v>71</v>
      </c>
      <c r="F110" s="8">
        <v>5</v>
      </c>
      <c r="G110" s="10"/>
      <c r="H110" s="4" t="s">
        <v>123</v>
      </c>
      <c r="I110" s="4" t="s">
        <v>38</v>
      </c>
      <c r="J110" s="4">
        <v>1</v>
      </c>
      <c r="K110" s="23">
        <v>20</v>
      </c>
      <c r="L110">
        <f>IF(Invoices[[#This Row],[Document Type]]="Return",Invoices[[#This Row],[Unit Price]]*-1,Invoices[[#This Row],[Unit Price]])</f>
        <v>20</v>
      </c>
      <c r="M110" t="str">
        <f>IF(Invoices[[#This Row],[New Unit Price]]&lt;0,"Return",
IF(Invoices[[#This Row],[New Unit Price]]=0,"Free",IF(Invoices[[#This Row],[New Unit Price]]&lt;100,"Basic","Premium")))</f>
        <v>Basic</v>
      </c>
      <c r="N110">
        <f>VLOOKUP(Invoices[[#This Row],[Part  '#]],Products[],4,0)</f>
        <v>4.58</v>
      </c>
      <c r="O110" t="str">
        <f>VLOOKUP(Invoices[[#This Row],[Customer Account]],Customers[],4,0)</f>
        <v>Financial</v>
      </c>
      <c r="P110" t="str">
        <f>VLOOKUP(Invoices[[#This Row],[Customer Account]],Customers[],3,0)</f>
        <v>Florida</v>
      </c>
      <c r="Q110" t="str">
        <f>VLOOKUP(Invoices[[#This Row],[Part  '#]],Products[],3,0)</f>
        <v>Consumables</v>
      </c>
      <c r="R110" s="25">
        <f>Invoices[[#This Row],[Quantity]]*Invoices[[#This Row],[Unit Cost]]</f>
        <v>4.58</v>
      </c>
      <c r="S110" s="25">
        <f>Invoices[[#This Row],[Quantity]]*Invoices[[#This Row],[New Unit Price]]</f>
        <v>20</v>
      </c>
      <c r="T110" s="25">
        <f>Invoices[[#This Row],[Revenue]]-Invoices[[#This Row],[Cost]]</f>
        <v>15.42</v>
      </c>
      <c r="U110" s="25" t="str">
        <f>TEXT(Invoices[[#This Row],[Date]],"MMM")</f>
        <v>Apr</v>
      </c>
      <c r="V110" s="29">
        <f>CHOOSE(MONTH(Invoices[[#This Row],[Date]]),1,1,1,2,2,2,3,3,3,4,4,4)</f>
        <v>2</v>
      </c>
      <c r="W110" s="30">
        <f>IFERROR(Invoices[[#This Row],[Profit]]/Invoices[[#This Row],[Revenue]],0)</f>
        <v>0.77100000000000002</v>
      </c>
    </row>
    <row r="111" spans="1:23" x14ac:dyDescent="0.3">
      <c r="A111" s="19" t="s">
        <v>5</v>
      </c>
      <c r="B111" s="4">
        <v>22835</v>
      </c>
      <c r="C111" s="15">
        <v>41378</v>
      </c>
      <c r="D111" s="9">
        <v>118</v>
      </c>
      <c r="E111" s="10" t="s">
        <v>86</v>
      </c>
      <c r="F111" s="8">
        <v>1</v>
      </c>
      <c r="G111" s="10"/>
      <c r="H111" s="4" t="s">
        <v>92</v>
      </c>
      <c r="I111" s="4" t="s">
        <v>10</v>
      </c>
      <c r="J111" s="4">
        <v>3</v>
      </c>
      <c r="K111" s="23">
        <v>1500</v>
      </c>
      <c r="L111">
        <f>IF(Invoices[[#This Row],[Document Type]]="Return",Invoices[[#This Row],[Unit Price]]*-1,Invoices[[#This Row],[Unit Price]])</f>
        <v>1500</v>
      </c>
      <c r="M111" t="str">
        <f>IF(Invoices[[#This Row],[New Unit Price]]&lt;0,"Return",
IF(Invoices[[#This Row],[New Unit Price]]=0,"Free",IF(Invoices[[#This Row],[New Unit Price]]&lt;100,"Basic","Premium")))</f>
        <v>Premium</v>
      </c>
      <c r="N111">
        <f>VLOOKUP(Invoices[[#This Row],[Part  '#]],Products[],4,0)</f>
        <v>899.1</v>
      </c>
      <c r="O111" t="str">
        <f>VLOOKUP(Invoices[[#This Row],[Customer Account]],Customers[],4,0)</f>
        <v>Financial</v>
      </c>
      <c r="P111" t="str">
        <f>VLOOKUP(Invoices[[#This Row],[Customer Account]],Customers[],3,0)</f>
        <v>Georgia</v>
      </c>
      <c r="Q111" t="str">
        <f>VLOOKUP(Invoices[[#This Row],[Part  '#]],Products[],3,0)</f>
        <v>Product</v>
      </c>
      <c r="R111" s="25">
        <f>Invoices[[#This Row],[Quantity]]*Invoices[[#This Row],[Unit Cost]]</f>
        <v>2697.3</v>
      </c>
      <c r="S111" s="25">
        <f>Invoices[[#This Row],[Quantity]]*Invoices[[#This Row],[New Unit Price]]</f>
        <v>4500</v>
      </c>
      <c r="T111" s="25">
        <f>Invoices[[#This Row],[Revenue]]-Invoices[[#This Row],[Cost]]</f>
        <v>1802.6999999999998</v>
      </c>
      <c r="U111" s="25" t="str">
        <f>TEXT(Invoices[[#This Row],[Date]],"MMM")</f>
        <v>Apr</v>
      </c>
      <c r="V111" s="29">
        <f>CHOOSE(MONTH(Invoices[[#This Row],[Date]]),1,1,1,2,2,2,3,3,3,4,4,4)</f>
        <v>2</v>
      </c>
      <c r="W111" s="30">
        <f>IFERROR(Invoices[[#This Row],[Profit]]/Invoices[[#This Row],[Revenue]],0)</f>
        <v>0.40059999999999996</v>
      </c>
    </row>
    <row r="112" spans="1:23" x14ac:dyDescent="0.3">
      <c r="A112" s="19" t="s">
        <v>5</v>
      </c>
      <c r="B112" s="4">
        <v>22835</v>
      </c>
      <c r="C112" s="15">
        <v>41378</v>
      </c>
      <c r="D112" s="9">
        <v>118</v>
      </c>
      <c r="E112" s="10" t="s">
        <v>86</v>
      </c>
      <c r="F112" s="8">
        <v>2</v>
      </c>
      <c r="G112" s="10"/>
      <c r="H112" s="4" t="s">
        <v>109</v>
      </c>
      <c r="I112" s="4" t="s">
        <v>24</v>
      </c>
      <c r="J112" s="4">
        <v>3</v>
      </c>
      <c r="K112" s="23">
        <v>0</v>
      </c>
      <c r="L112">
        <f>IF(Invoices[[#This Row],[Document Type]]="Return",Invoices[[#This Row],[Unit Price]]*-1,Invoices[[#This Row],[Unit Price]])</f>
        <v>0</v>
      </c>
      <c r="M112" t="str">
        <f>IF(Invoices[[#This Row],[New Unit Price]]&lt;0,"Return",
IF(Invoices[[#This Row],[New Unit Price]]=0,"Free",IF(Invoices[[#This Row],[New Unit Price]]&lt;100,"Basic","Premium")))</f>
        <v>Free</v>
      </c>
      <c r="N112">
        <f>VLOOKUP(Invoices[[#This Row],[Part  '#]],Products[],4,0)</f>
        <v>12.17</v>
      </c>
      <c r="O112" t="str">
        <f>VLOOKUP(Invoices[[#This Row],[Customer Account]],Customers[],4,0)</f>
        <v>Financial</v>
      </c>
      <c r="P112" t="str">
        <f>VLOOKUP(Invoices[[#This Row],[Customer Account]],Customers[],3,0)</f>
        <v>Georgia</v>
      </c>
      <c r="Q112" t="str">
        <f>VLOOKUP(Invoices[[#This Row],[Part  '#]],Products[],3,0)</f>
        <v>Accessories</v>
      </c>
      <c r="R112" s="25">
        <f>Invoices[[#This Row],[Quantity]]*Invoices[[#This Row],[Unit Cost]]</f>
        <v>36.51</v>
      </c>
      <c r="S112" s="25">
        <f>Invoices[[#This Row],[Quantity]]*Invoices[[#This Row],[New Unit Price]]</f>
        <v>0</v>
      </c>
      <c r="T112" s="25">
        <f>Invoices[[#This Row],[Revenue]]-Invoices[[#This Row],[Cost]]</f>
        <v>-36.51</v>
      </c>
      <c r="U112" s="25" t="str">
        <f>TEXT(Invoices[[#This Row],[Date]],"MMM")</f>
        <v>Apr</v>
      </c>
      <c r="V112" s="29">
        <f>CHOOSE(MONTH(Invoices[[#This Row],[Date]]),1,1,1,2,2,2,3,3,3,4,4,4)</f>
        <v>2</v>
      </c>
      <c r="W112" s="30">
        <f>IFERROR(Invoices[[#This Row],[Profit]]/Invoices[[#This Row],[Revenue]],0)</f>
        <v>0</v>
      </c>
    </row>
    <row r="113" spans="1:23" x14ac:dyDescent="0.3">
      <c r="A113" s="19" t="s">
        <v>5</v>
      </c>
      <c r="B113" s="4">
        <v>22835</v>
      </c>
      <c r="C113" s="15">
        <v>41378</v>
      </c>
      <c r="D113" s="9">
        <v>118</v>
      </c>
      <c r="E113" s="10" t="s">
        <v>86</v>
      </c>
      <c r="F113" s="8">
        <v>3</v>
      </c>
      <c r="G113" s="10"/>
      <c r="H113" s="4" t="s">
        <v>116</v>
      </c>
      <c r="I113" s="4" t="s">
        <v>32</v>
      </c>
      <c r="J113" s="4">
        <v>3</v>
      </c>
      <c r="K113" s="23">
        <v>0</v>
      </c>
      <c r="L113">
        <f>IF(Invoices[[#This Row],[Document Type]]="Return",Invoices[[#This Row],[Unit Price]]*-1,Invoices[[#This Row],[Unit Price]])</f>
        <v>0</v>
      </c>
      <c r="M113" t="str">
        <f>IF(Invoices[[#This Row],[New Unit Price]]&lt;0,"Return",
IF(Invoices[[#This Row],[New Unit Price]]=0,"Free",IF(Invoices[[#This Row],[New Unit Price]]&lt;100,"Basic","Premium")))</f>
        <v>Free</v>
      </c>
      <c r="N113">
        <f>VLOOKUP(Invoices[[#This Row],[Part  '#]],Products[],4,0)</f>
        <v>8.15</v>
      </c>
      <c r="O113" t="str">
        <f>VLOOKUP(Invoices[[#This Row],[Customer Account]],Customers[],4,0)</f>
        <v>Financial</v>
      </c>
      <c r="P113" t="str">
        <f>VLOOKUP(Invoices[[#This Row],[Customer Account]],Customers[],3,0)</f>
        <v>Georgia</v>
      </c>
      <c r="Q113" t="str">
        <f>VLOOKUP(Invoices[[#This Row],[Part  '#]],Products[],3,0)</f>
        <v>Accessories</v>
      </c>
      <c r="R113" s="25">
        <f>Invoices[[#This Row],[Quantity]]*Invoices[[#This Row],[Unit Cost]]</f>
        <v>24.450000000000003</v>
      </c>
      <c r="S113" s="25">
        <f>Invoices[[#This Row],[Quantity]]*Invoices[[#This Row],[New Unit Price]]</f>
        <v>0</v>
      </c>
      <c r="T113" s="25">
        <f>Invoices[[#This Row],[Revenue]]-Invoices[[#This Row],[Cost]]</f>
        <v>-24.450000000000003</v>
      </c>
      <c r="U113" s="25" t="str">
        <f>TEXT(Invoices[[#This Row],[Date]],"MMM")</f>
        <v>Apr</v>
      </c>
      <c r="V113" s="29">
        <f>CHOOSE(MONTH(Invoices[[#This Row],[Date]]),1,1,1,2,2,2,3,3,3,4,4,4)</f>
        <v>2</v>
      </c>
      <c r="W113" s="30">
        <f>IFERROR(Invoices[[#This Row],[Profit]]/Invoices[[#This Row],[Revenue]],0)</f>
        <v>0</v>
      </c>
    </row>
    <row r="114" spans="1:23" x14ac:dyDescent="0.3">
      <c r="A114" s="19" t="s">
        <v>5</v>
      </c>
      <c r="B114" s="4">
        <v>22835</v>
      </c>
      <c r="C114" s="15">
        <v>41378</v>
      </c>
      <c r="D114" s="9">
        <v>118</v>
      </c>
      <c r="E114" s="10" t="s">
        <v>86</v>
      </c>
      <c r="F114" s="8">
        <v>4</v>
      </c>
      <c r="G114" s="10"/>
      <c r="H114" s="4" t="s">
        <v>118</v>
      </c>
      <c r="I114" s="4" t="s">
        <v>42</v>
      </c>
      <c r="J114" s="4">
        <v>3</v>
      </c>
      <c r="K114" s="23">
        <v>0</v>
      </c>
      <c r="L114">
        <f>IF(Invoices[[#This Row],[Document Type]]="Return",Invoices[[#This Row],[Unit Price]]*-1,Invoices[[#This Row],[Unit Price]])</f>
        <v>0</v>
      </c>
      <c r="M114" t="str">
        <f>IF(Invoices[[#This Row],[New Unit Price]]&lt;0,"Return",
IF(Invoices[[#This Row],[New Unit Price]]=0,"Free",IF(Invoices[[#This Row],[New Unit Price]]&lt;100,"Basic","Premium")))</f>
        <v>Free</v>
      </c>
      <c r="N114">
        <f>VLOOKUP(Invoices[[#This Row],[Part  '#]],Products[],4,0)</f>
        <v>12.33</v>
      </c>
      <c r="O114" t="str">
        <f>VLOOKUP(Invoices[[#This Row],[Customer Account]],Customers[],4,0)</f>
        <v>Financial</v>
      </c>
      <c r="P114" t="str">
        <f>VLOOKUP(Invoices[[#This Row],[Customer Account]],Customers[],3,0)</f>
        <v>Georgia</v>
      </c>
      <c r="Q114" t="str">
        <f>VLOOKUP(Invoices[[#This Row],[Part  '#]],Products[],3,0)</f>
        <v>Accessories</v>
      </c>
      <c r="R114" s="25">
        <f>Invoices[[#This Row],[Quantity]]*Invoices[[#This Row],[Unit Cost]]</f>
        <v>36.99</v>
      </c>
      <c r="S114" s="25">
        <f>Invoices[[#This Row],[Quantity]]*Invoices[[#This Row],[New Unit Price]]</f>
        <v>0</v>
      </c>
      <c r="T114" s="25">
        <f>Invoices[[#This Row],[Revenue]]-Invoices[[#This Row],[Cost]]</f>
        <v>-36.99</v>
      </c>
      <c r="U114" s="25" t="str">
        <f>TEXT(Invoices[[#This Row],[Date]],"MMM")</f>
        <v>Apr</v>
      </c>
      <c r="V114" s="29">
        <f>CHOOSE(MONTH(Invoices[[#This Row],[Date]]),1,1,1,2,2,2,3,3,3,4,4,4)</f>
        <v>2</v>
      </c>
      <c r="W114" s="30">
        <f>IFERROR(Invoices[[#This Row],[Profit]]/Invoices[[#This Row],[Revenue]],0)</f>
        <v>0</v>
      </c>
    </row>
    <row r="115" spans="1:23" x14ac:dyDescent="0.3">
      <c r="A115" s="19" t="s">
        <v>5</v>
      </c>
      <c r="B115" s="4">
        <v>22835</v>
      </c>
      <c r="C115" s="15">
        <v>41378</v>
      </c>
      <c r="D115" s="9">
        <v>118</v>
      </c>
      <c r="E115" s="10" t="s">
        <v>86</v>
      </c>
      <c r="F115" s="8">
        <v>5</v>
      </c>
      <c r="G115" s="10"/>
      <c r="H115" s="4" t="s">
        <v>123</v>
      </c>
      <c r="I115" s="4" t="s">
        <v>38</v>
      </c>
      <c r="J115" s="4">
        <v>3</v>
      </c>
      <c r="K115" s="23">
        <v>0</v>
      </c>
      <c r="L115">
        <f>IF(Invoices[[#This Row],[Document Type]]="Return",Invoices[[#This Row],[Unit Price]]*-1,Invoices[[#This Row],[Unit Price]])</f>
        <v>0</v>
      </c>
      <c r="M115" t="str">
        <f>IF(Invoices[[#This Row],[New Unit Price]]&lt;0,"Return",
IF(Invoices[[#This Row],[New Unit Price]]=0,"Free",IF(Invoices[[#This Row],[New Unit Price]]&lt;100,"Basic","Premium")))</f>
        <v>Free</v>
      </c>
      <c r="N115">
        <f>VLOOKUP(Invoices[[#This Row],[Part  '#]],Products[],4,0)</f>
        <v>4.58</v>
      </c>
      <c r="O115" t="str">
        <f>VLOOKUP(Invoices[[#This Row],[Customer Account]],Customers[],4,0)</f>
        <v>Financial</v>
      </c>
      <c r="P115" t="str">
        <f>VLOOKUP(Invoices[[#This Row],[Customer Account]],Customers[],3,0)</f>
        <v>Georgia</v>
      </c>
      <c r="Q115" t="str">
        <f>VLOOKUP(Invoices[[#This Row],[Part  '#]],Products[],3,0)</f>
        <v>Consumables</v>
      </c>
      <c r="R115" s="25">
        <f>Invoices[[#This Row],[Quantity]]*Invoices[[#This Row],[Unit Cost]]</f>
        <v>13.74</v>
      </c>
      <c r="S115" s="25">
        <f>Invoices[[#This Row],[Quantity]]*Invoices[[#This Row],[New Unit Price]]</f>
        <v>0</v>
      </c>
      <c r="T115" s="25">
        <f>Invoices[[#This Row],[Revenue]]-Invoices[[#This Row],[Cost]]</f>
        <v>-13.74</v>
      </c>
      <c r="U115" s="25" t="str">
        <f>TEXT(Invoices[[#This Row],[Date]],"MMM")</f>
        <v>Apr</v>
      </c>
      <c r="V115" s="29">
        <f>CHOOSE(MONTH(Invoices[[#This Row],[Date]]),1,1,1,2,2,2,3,3,3,4,4,4)</f>
        <v>2</v>
      </c>
      <c r="W115" s="30">
        <f>IFERROR(Invoices[[#This Row],[Profit]]/Invoices[[#This Row],[Revenue]],0)</f>
        <v>0</v>
      </c>
    </row>
    <row r="116" spans="1:23" x14ac:dyDescent="0.3">
      <c r="A116" s="19" t="s">
        <v>5</v>
      </c>
      <c r="B116" s="4">
        <v>22835</v>
      </c>
      <c r="C116" s="15">
        <v>41378</v>
      </c>
      <c r="D116" s="9">
        <v>118</v>
      </c>
      <c r="E116" s="10" t="s">
        <v>86</v>
      </c>
      <c r="F116" s="8">
        <v>1</v>
      </c>
      <c r="G116" s="10"/>
      <c r="H116" s="4" t="s">
        <v>92</v>
      </c>
      <c r="I116" s="4" t="s">
        <v>10</v>
      </c>
      <c r="J116" s="4">
        <v>3</v>
      </c>
      <c r="K116" s="23">
        <v>1500</v>
      </c>
      <c r="L116">
        <f>IF(Invoices[[#This Row],[Document Type]]="Return",Invoices[[#This Row],[Unit Price]]*-1,Invoices[[#This Row],[Unit Price]])</f>
        <v>1500</v>
      </c>
      <c r="M116" t="str">
        <f>IF(Invoices[[#This Row],[New Unit Price]]&lt;0,"Return",
IF(Invoices[[#This Row],[New Unit Price]]=0,"Free",IF(Invoices[[#This Row],[New Unit Price]]&lt;100,"Basic","Premium")))</f>
        <v>Premium</v>
      </c>
      <c r="N116">
        <f>VLOOKUP(Invoices[[#This Row],[Part  '#]],Products[],4,0)</f>
        <v>899.1</v>
      </c>
      <c r="O116" t="str">
        <f>VLOOKUP(Invoices[[#This Row],[Customer Account]],Customers[],4,0)</f>
        <v>Financial</v>
      </c>
      <c r="P116" t="str">
        <f>VLOOKUP(Invoices[[#This Row],[Customer Account]],Customers[],3,0)</f>
        <v>Georgia</v>
      </c>
      <c r="Q116" t="str">
        <f>VLOOKUP(Invoices[[#This Row],[Part  '#]],Products[],3,0)</f>
        <v>Product</v>
      </c>
      <c r="R116" s="25">
        <f>Invoices[[#This Row],[Quantity]]*Invoices[[#This Row],[Unit Cost]]</f>
        <v>2697.3</v>
      </c>
      <c r="S116" s="25">
        <f>Invoices[[#This Row],[Quantity]]*Invoices[[#This Row],[New Unit Price]]</f>
        <v>4500</v>
      </c>
      <c r="T116" s="25">
        <f>Invoices[[#This Row],[Revenue]]-Invoices[[#This Row],[Cost]]</f>
        <v>1802.6999999999998</v>
      </c>
      <c r="U116" s="25" t="str">
        <f>TEXT(Invoices[[#This Row],[Date]],"MMM")</f>
        <v>Apr</v>
      </c>
      <c r="V116" s="29">
        <f>CHOOSE(MONTH(Invoices[[#This Row],[Date]]),1,1,1,2,2,2,3,3,3,4,4,4)</f>
        <v>2</v>
      </c>
      <c r="W116" s="30">
        <f>IFERROR(Invoices[[#This Row],[Profit]]/Invoices[[#This Row],[Revenue]],0)</f>
        <v>0.40059999999999996</v>
      </c>
    </row>
    <row r="117" spans="1:23" x14ac:dyDescent="0.3">
      <c r="A117" s="19" t="s">
        <v>5</v>
      </c>
      <c r="B117" s="4">
        <v>22835</v>
      </c>
      <c r="C117" s="15">
        <v>41378</v>
      </c>
      <c r="D117" s="9">
        <v>118</v>
      </c>
      <c r="E117" s="10" t="s">
        <v>86</v>
      </c>
      <c r="F117" s="8">
        <v>2</v>
      </c>
      <c r="G117" s="10"/>
      <c r="H117" s="4" t="s">
        <v>109</v>
      </c>
      <c r="I117" s="4" t="s">
        <v>24</v>
      </c>
      <c r="J117" s="4">
        <v>3</v>
      </c>
      <c r="K117" s="23">
        <v>25</v>
      </c>
      <c r="L117">
        <f>IF(Invoices[[#This Row],[Document Type]]="Return",Invoices[[#This Row],[Unit Price]]*-1,Invoices[[#This Row],[Unit Price]])</f>
        <v>25</v>
      </c>
      <c r="M117" t="str">
        <f>IF(Invoices[[#This Row],[New Unit Price]]&lt;0,"Return",
IF(Invoices[[#This Row],[New Unit Price]]=0,"Free",IF(Invoices[[#This Row],[New Unit Price]]&lt;100,"Basic","Premium")))</f>
        <v>Basic</v>
      </c>
      <c r="N117">
        <f>VLOOKUP(Invoices[[#This Row],[Part  '#]],Products[],4,0)</f>
        <v>12.17</v>
      </c>
      <c r="O117" t="str">
        <f>VLOOKUP(Invoices[[#This Row],[Customer Account]],Customers[],4,0)</f>
        <v>Financial</v>
      </c>
      <c r="P117" t="str">
        <f>VLOOKUP(Invoices[[#This Row],[Customer Account]],Customers[],3,0)</f>
        <v>Georgia</v>
      </c>
      <c r="Q117" t="str">
        <f>VLOOKUP(Invoices[[#This Row],[Part  '#]],Products[],3,0)</f>
        <v>Accessories</v>
      </c>
      <c r="R117" s="25">
        <f>Invoices[[#This Row],[Quantity]]*Invoices[[#This Row],[Unit Cost]]</f>
        <v>36.51</v>
      </c>
      <c r="S117" s="25">
        <f>Invoices[[#This Row],[Quantity]]*Invoices[[#This Row],[New Unit Price]]</f>
        <v>75</v>
      </c>
      <c r="T117" s="25">
        <f>Invoices[[#This Row],[Revenue]]-Invoices[[#This Row],[Cost]]</f>
        <v>38.49</v>
      </c>
      <c r="U117" s="25" t="str">
        <f>TEXT(Invoices[[#This Row],[Date]],"MMM")</f>
        <v>Apr</v>
      </c>
      <c r="V117" s="29">
        <f>CHOOSE(MONTH(Invoices[[#This Row],[Date]]),1,1,1,2,2,2,3,3,3,4,4,4)</f>
        <v>2</v>
      </c>
      <c r="W117" s="30">
        <f>IFERROR(Invoices[[#This Row],[Profit]]/Invoices[[#This Row],[Revenue]],0)</f>
        <v>0.51319999999999999</v>
      </c>
    </row>
    <row r="118" spans="1:23" x14ac:dyDescent="0.3">
      <c r="A118" s="19" t="s">
        <v>5</v>
      </c>
      <c r="B118" s="4">
        <v>22835</v>
      </c>
      <c r="C118" s="15">
        <v>41378</v>
      </c>
      <c r="D118" s="9">
        <v>118</v>
      </c>
      <c r="E118" s="10" t="s">
        <v>86</v>
      </c>
      <c r="F118" s="8">
        <v>3</v>
      </c>
      <c r="G118" s="10"/>
      <c r="H118" s="4" t="s">
        <v>116</v>
      </c>
      <c r="I118" s="4" t="s">
        <v>32</v>
      </c>
      <c r="J118" s="4">
        <v>3</v>
      </c>
      <c r="K118" s="23">
        <v>20</v>
      </c>
      <c r="L118">
        <f>IF(Invoices[[#This Row],[Document Type]]="Return",Invoices[[#This Row],[Unit Price]]*-1,Invoices[[#This Row],[Unit Price]])</f>
        <v>20</v>
      </c>
      <c r="M118" t="str">
        <f>IF(Invoices[[#This Row],[New Unit Price]]&lt;0,"Return",
IF(Invoices[[#This Row],[New Unit Price]]=0,"Free",IF(Invoices[[#This Row],[New Unit Price]]&lt;100,"Basic","Premium")))</f>
        <v>Basic</v>
      </c>
      <c r="N118">
        <f>VLOOKUP(Invoices[[#This Row],[Part  '#]],Products[],4,0)</f>
        <v>8.15</v>
      </c>
      <c r="O118" t="str">
        <f>VLOOKUP(Invoices[[#This Row],[Customer Account]],Customers[],4,0)</f>
        <v>Financial</v>
      </c>
      <c r="P118" t="str">
        <f>VLOOKUP(Invoices[[#This Row],[Customer Account]],Customers[],3,0)</f>
        <v>Georgia</v>
      </c>
      <c r="Q118" t="str">
        <f>VLOOKUP(Invoices[[#This Row],[Part  '#]],Products[],3,0)</f>
        <v>Accessories</v>
      </c>
      <c r="R118" s="25">
        <f>Invoices[[#This Row],[Quantity]]*Invoices[[#This Row],[Unit Cost]]</f>
        <v>24.450000000000003</v>
      </c>
      <c r="S118" s="25">
        <f>Invoices[[#This Row],[Quantity]]*Invoices[[#This Row],[New Unit Price]]</f>
        <v>60</v>
      </c>
      <c r="T118" s="25">
        <f>Invoices[[#This Row],[Revenue]]-Invoices[[#This Row],[Cost]]</f>
        <v>35.549999999999997</v>
      </c>
      <c r="U118" s="25" t="str">
        <f>TEXT(Invoices[[#This Row],[Date]],"MMM")</f>
        <v>Apr</v>
      </c>
      <c r="V118" s="29">
        <f>CHOOSE(MONTH(Invoices[[#This Row],[Date]]),1,1,1,2,2,2,3,3,3,4,4,4)</f>
        <v>2</v>
      </c>
      <c r="W118" s="30">
        <f>IFERROR(Invoices[[#This Row],[Profit]]/Invoices[[#This Row],[Revenue]],0)</f>
        <v>0.59249999999999992</v>
      </c>
    </row>
    <row r="119" spans="1:23" x14ac:dyDescent="0.3">
      <c r="A119" s="19" t="s">
        <v>5</v>
      </c>
      <c r="B119" s="4">
        <v>22835</v>
      </c>
      <c r="C119" s="15">
        <v>41378</v>
      </c>
      <c r="D119" s="9">
        <v>118</v>
      </c>
      <c r="E119" s="10" t="s">
        <v>86</v>
      </c>
      <c r="F119" s="8">
        <v>4</v>
      </c>
      <c r="G119" s="10"/>
      <c r="H119" s="4" t="s">
        <v>118</v>
      </c>
      <c r="I119" s="4" t="s">
        <v>42</v>
      </c>
      <c r="J119" s="4">
        <v>3</v>
      </c>
      <c r="K119" s="23">
        <v>40</v>
      </c>
      <c r="L119">
        <f>IF(Invoices[[#This Row],[Document Type]]="Return",Invoices[[#This Row],[Unit Price]]*-1,Invoices[[#This Row],[Unit Price]])</f>
        <v>40</v>
      </c>
      <c r="M119" t="str">
        <f>IF(Invoices[[#This Row],[New Unit Price]]&lt;0,"Return",
IF(Invoices[[#This Row],[New Unit Price]]=0,"Free",IF(Invoices[[#This Row],[New Unit Price]]&lt;100,"Basic","Premium")))</f>
        <v>Basic</v>
      </c>
      <c r="N119">
        <f>VLOOKUP(Invoices[[#This Row],[Part  '#]],Products[],4,0)</f>
        <v>12.33</v>
      </c>
      <c r="O119" t="str">
        <f>VLOOKUP(Invoices[[#This Row],[Customer Account]],Customers[],4,0)</f>
        <v>Financial</v>
      </c>
      <c r="P119" t="str">
        <f>VLOOKUP(Invoices[[#This Row],[Customer Account]],Customers[],3,0)</f>
        <v>Georgia</v>
      </c>
      <c r="Q119" t="str">
        <f>VLOOKUP(Invoices[[#This Row],[Part  '#]],Products[],3,0)</f>
        <v>Accessories</v>
      </c>
      <c r="R119" s="25">
        <f>Invoices[[#This Row],[Quantity]]*Invoices[[#This Row],[Unit Cost]]</f>
        <v>36.99</v>
      </c>
      <c r="S119" s="25">
        <f>Invoices[[#This Row],[Quantity]]*Invoices[[#This Row],[New Unit Price]]</f>
        <v>120</v>
      </c>
      <c r="T119" s="25">
        <f>Invoices[[#This Row],[Revenue]]-Invoices[[#This Row],[Cost]]</f>
        <v>83.009999999999991</v>
      </c>
      <c r="U119" s="25" t="str">
        <f>TEXT(Invoices[[#This Row],[Date]],"MMM")</f>
        <v>Apr</v>
      </c>
      <c r="V119" s="29">
        <f>CHOOSE(MONTH(Invoices[[#This Row],[Date]]),1,1,1,2,2,2,3,3,3,4,4,4)</f>
        <v>2</v>
      </c>
      <c r="W119" s="30">
        <f>IFERROR(Invoices[[#This Row],[Profit]]/Invoices[[#This Row],[Revenue]],0)</f>
        <v>0.69174999999999998</v>
      </c>
    </row>
    <row r="120" spans="1:23" x14ac:dyDescent="0.3">
      <c r="A120" s="19" t="s">
        <v>5</v>
      </c>
      <c r="B120" s="4">
        <v>22835</v>
      </c>
      <c r="C120" s="15">
        <v>41378</v>
      </c>
      <c r="D120" s="9">
        <v>118</v>
      </c>
      <c r="E120" s="10" t="s">
        <v>86</v>
      </c>
      <c r="F120" s="8">
        <v>5</v>
      </c>
      <c r="G120" s="10"/>
      <c r="H120" s="4" t="s">
        <v>123</v>
      </c>
      <c r="I120" s="4" t="s">
        <v>38</v>
      </c>
      <c r="J120" s="4">
        <v>3</v>
      </c>
      <c r="K120" s="23">
        <v>20</v>
      </c>
      <c r="L120">
        <f>IF(Invoices[[#This Row],[Document Type]]="Return",Invoices[[#This Row],[Unit Price]]*-1,Invoices[[#This Row],[Unit Price]])</f>
        <v>20</v>
      </c>
      <c r="M120" t="str">
        <f>IF(Invoices[[#This Row],[New Unit Price]]&lt;0,"Return",
IF(Invoices[[#This Row],[New Unit Price]]=0,"Free",IF(Invoices[[#This Row],[New Unit Price]]&lt;100,"Basic","Premium")))</f>
        <v>Basic</v>
      </c>
      <c r="N120">
        <f>VLOOKUP(Invoices[[#This Row],[Part  '#]],Products[],4,0)</f>
        <v>4.58</v>
      </c>
      <c r="O120" t="str">
        <f>VLOOKUP(Invoices[[#This Row],[Customer Account]],Customers[],4,0)</f>
        <v>Financial</v>
      </c>
      <c r="P120" t="str">
        <f>VLOOKUP(Invoices[[#This Row],[Customer Account]],Customers[],3,0)</f>
        <v>Georgia</v>
      </c>
      <c r="Q120" t="str">
        <f>VLOOKUP(Invoices[[#This Row],[Part  '#]],Products[],3,0)</f>
        <v>Consumables</v>
      </c>
      <c r="R120" s="25">
        <f>Invoices[[#This Row],[Quantity]]*Invoices[[#This Row],[Unit Cost]]</f>
        <v>13.74</v>
      </c>
      <c r="S120" s="25">
        <f>Invoices[[#This Row],[Quantity]]*Invoices[[#This Row],[New Unit Price]]</f>
        <v>60</v>
      </c>
      <c r="T120" s="25">
        <f>Invoices[[#This Row],[Revenue]]-Invoices[[#This Row],[Cost]]</f>
        <v>46.26</v>
      </c>
      <c r="U120" s="25" t="str">
        <f>TEXT(Invoices[[#This Row],[Date]],"MMM")</f>
        <v>Apr</v>
      </c>
      <c r="V120" s="29">
        <f>CHOOSE(MONTH(Invoices[[#This Row],[Date]]),1,1,1,2,2,2,3,3,3,4,4,4)</f>
        <v>2</v>
      </c>
      <c r="W120" s="30">
        <f>IFERROR(Invoices[[#This Row],[Profit]]/Invoices[[#This Row],[Revenue]],0)</f>
        <v>0.77100000000000002</v>
      </c>
    </row>
    <row r="121" spans="1:23" x14ac:dyDescent="0.3">
      <c r="A121" s="19" t="s">
        <v>5</v>
      </c>
      <c r="B121" s="4">
        <v>22836</v>
      </c>
      <c r="C121" s="15">
        <v>41387</v>
      </c>
      <c r="D121" s="9">
        <v>110</v>
      </c>
      <c r="E121" s="10" t="s">
        <v>75</v>
      </c>
      <c r="F121" s="8">
        <v>1</v>
      </c>
      <c r="G121" s="10"/>
      <c r="H121" s="4" t="s">
        <v>92</v>
      </c>
      <c r="I121" s="4" t="s">
        <v>10</v>
      </c>
      <c r="J121" s="4">
        <v>4</v>
      </c>
      <c r="K121" s="23">
        <v>1500</v>
      </c>
      <c r="L121">
        <f>IF(Invoices[[#This Row],[Document Type]]="Return",Invoices[[#This Row],[Unit Price]]*-1,Invoices[[#This Row],[Unit Price]])</f>
        <v>1500</v>
      </c>
      <c r="M121" t="str">
        <f>IF(Invoices[[#This Row],[New Unit Price]]&lt;0,"Return",
IF(Invoices[[#This Row],[New Unit Price]]=0,"Free",IF(Invoices[[#This Row],[New Unit Price]]&lt;100,"Basic","Premium")))</f>
        <v>Premium</v>
      </c>
      <c r="N121">
        <f>VLOOKUP(Invoices[[#This Row],[Part  '#]],Products[],4,0)</f>
        <v>899.1</v>
      </c>
      <c r="O121" t="str">
        <f>VLOOKUP(Invoices[[#This Row],[Customer Account]],Customers[],4,0)</f>
        <v>Automotive</v>
      </c>
      <c r="P121" t="str">
        <f>VLOOKUP(Invoices[[#This Row],[Customer Account]],Customers[],3,0)</f>
        <v>Alabama</v>
      </c>
      <c r="Q121" t="str">
        <f>VLOOKUP(Invoices[[#This Row],[Part  '#]],Products[],3,0)</f>
        <v>Product</v>
      </c>
      <c r="R121" s="25">
        <f>Invoices[[#This Row],[Quantity]]*Invoices[[#This Row],[Unit Cost]]</f>
        <v>3596.4</v>
      </c>
      <c r="S121" s="25">
        <f>Invoices[[#This Row],[Quantity]]*Invoices[[#This Row],[New Unit Price]]</f>
        <v>6000</v>
      </c>
      <c r="T121" s="25">
        <f>Invoices[[#This Row],[Revenue]]-Invoices[[#This Row],[Cost]]</f>
        <v>2403.6</v>
      </c>
      <c r="U121" s="25" t="str">
        <f>TEXT(Invoices[[#This Row],[Date]],"MMM")</f>
        <v>Apr</v>
      </c>
      <c r="V121" s="29">
        <f>CHOOSE(MONTH(Invoices[[#This Row],[Date]]),1,1,1,2,2,2,3,3,3,4,4,4)</f>
        <v>2</v>
      </c>
      <c r="W121" s="30">
        <f>IFERROR(Invoices[[#This Row],[Profit]]/Invoices[[#This Row],[Revenue]],0)</f>
        <v>0.40060000000000001</v>
      </c>
    </row>
    <row r="122" spans="1:23" x14ac:dyDescent="0.3">
      <c r="A122" s="19" t="s">
        <v>5</v>
      </c>
      <c r="B122" s="4">
        <v>22836</v>
      </c>
      <c r="C122" s="15">
        <v>41387</v>
      </c>
      <c r="D122" s="9">
        <v>110</v>
      </c>
      <c r="E122" s="10" t="s">
        <v>75</v>
      </c>
      <c r="F122" s="8">
        <v>2</v>
      </c>
      <c r="G122" s="10"/>
      <c r="H122" s="4" t="s">
        <v>109</v>
      </c>
      <c r="I122" s="4" t="s">
        <v>24</v>
      </c>
      <c r="J122" s="4">
        <v>4</v>
      </c>
      <c r="K122" s="23">
        <v>25</v>
      </c>
      <c r="L122">
        <f>IF(Invoices[[#This Row],[Document Type]]="Return",Invoices[[#This Row],[Unit Price]]*-1,Invoices[[#This Row],[Unit Price]])</f>
        <v>25</v>
      </c>
      <c r="M122" t="str">
        <f>IF(Invoices[[#This Row],[New Unit Price]]&lt;0,"Return",
IF(Invoices[[#This Row],[New Unit Price]]=0,"Free",IF(Invoices[[#This Row],[New Unit Price]]&lt;100,"Basic","Premium")))</f>
        <v>Basic</v>
      </c>
      <c r="N122">
        <f>VLOOKUP(Invoices[[#This Row],[Part  '#]],Products[],4,0)</f>
        <v>12.17</v>
      </c>
      <c r="O122" t="str">
        <f>VLOOKUP(Invoices[[#This Row],[Customer Account]],Customers[],4,0)</f>
        <v>Automotive</v>
      </c>
      <c r="P122" t="str">
        <f>VLOOKUP(Invoices[[#This Row],[Customer Account]],Customers[],3,0)</f>
        <v>Alabama</v>
      </c>
      <c r="Q122" t="str">
        <f>VLOOKUP(Invoices[[#This Row],[Part  '#]],Products[],3,0)</f>
        <v>Accessories</v>
      </c>
      <c r="R122" s="25">
        <f>Invoices[[#This Row],[Quantity]]*Invoices[[#This Row],[Unit Cost]]</f>
        <v>48.68</v>
      </c>
      <c r="S122" s="25">
        <f>Invoices[[#This Row],[Quantity]]*Invoices[[#This Row],[New Unit Price]]</f>
        <v>100</v>
      </c>
      <c r="T122" s="25">
        <f>Invoices[[#This Row],[Revenue]]-Invoices[[#This Row],[Cost]]</f>
        <v>51.32</v>
      </c>
      <c r="U122" s="25" t="str">
        <f>TEXT(Invoices[[#This Row],[Date]],"MMM")</f>
        <v>Apr</v>
      </c>
      <c r="V122" s="29">
        <f>CHOOSE(MONTH(Invoices[[#This Row],[Date]]),1,1,1,2,2,2,3,3,3,4,4,4)</f>
        <v>2</v>
      </c>
      <c r="W122" s="30">
        <f>IFERROR(Invoices[[#This Row],[Profit]]/Invoices[[#This Row],[Revenue]],0)</f>
        <v>0.51319999999999999</v>
      </c>
    </row>
    <row r="123" spans="1:23" x14ac:dyDescent="0.3">
      <c r="A123" s="19" t="s">
        <v>5</v>
      </c>
      <c r="B123" s="4">
        <v>22836</v>
      </c>
      <c r="C123" s="15">
        <v>41387</v>
      </c>
      <c r="D123" s="9">
        <v>110</v>
      </c>
      <c r="E123" s="10" t="s">
        <v>75</v>
      </c>
      <c r="F123" s="8">
        <v>3</v>
      </c>
      <c r="G123" s="10"/>
      <c r="H123" s="4" t="s">
        <v>116</v>
      </c>
      <c r="I123" s="4" t="s">
        <v>32</v>
      </c>
      <c r="J123" s="4">
        <v>4</v>
      </c>
      <c r="K123" s="23">
        <v>20</v>
      </c>
      <c r="L123">
        <f>IF(Invoices[[#This Row],[Document Type]]="Return",Invoices[[#This Row],[Unit Price]]*-1,Invoices[[#This Row],[Unit Price]])</f>
        <v>20</v>
      </c>
      <c r="M123" t="str">
        <f>IF(Invoices[[#This Row],[New Unit Price]]&lt;0,"Return",
IF(Invoices[[#This Row],[New Unit Price]]=0,"Free",IF(Invoices[[#This Row],[New Unit Price]]&lt;100,"Basic","Premium")))</f>
        <v>Basic</v>
      </c>
      <c r="N123">
        <f>VLOOKUP(Invoices[[#This Row],[Part  '#]],Products[],4,0)</f>
        <v>8.15</v>
      </c>
      <c r="O123" t="str">
        <f>VLOOKUP(Invoices[[#This Row],[Customer Account]],Customers[],4,0)</f>
        <v>Automotive</v>
      </c>
      <c r="P123" t="str">
        <f>VLOOKUP(Invoices[[#This Row],[Customer Account]],Customers[],3,0)</f>
        <v>Alabama</v>
      </c>
      <c r="Q123" t="str">
        <f>VLOOKUP(Invoices[[#This Row],[Part  '#]],Products[],3,0)</f>
        <v>Accessories</v>
      </c>
      <c r="R123" s="25">
        <f>Invoices[[#This Row],[Quantity]]*Invoices[[#This Row],[Unit Cost]]</f>
        <v>32.6</v>
      </c>
      <c r="S123" s="25">
        <f>Invoices[[#This Row],[Quantity]]*Invoices[[#This Row],[New Unit Price]]</f>
        <v>80</v>
      </c>
      <c r="T123" s="25">
        <f>Invoices[[#This Row],[Revenue]]-Invoices[[#This Row],[Cost]]</f>
        <v>47.4</v>
      </c>
      <c r="U123" s="25" t="str">
        <f>TEXT(Invoices[[#This Row],[Date]],"MMM")</f>
        <v>Apr</v>
      </c>
      <c r="V123" s="29">
        <f>CHOOSE(MONTH(Invoices[[#This Row],[Date]]),1,1,1,2,2,2,3,3,3,4,4,4)</f>
        <v>2</v>
      </c>
      <c r="W123" s="30">
        <f>IFERROR(Invoices[[#This Row],[Profit]]/Invoices[[#This Row],[Revenue]],0)</f>
        <v>0.59250000000000003</v>
      </c>
    </row>
    <row r="124" spans="1:23" x14ac:dyDescent="0.3">
      <c r="A124" s="19" t="s">
        <v>5</v>
      </c>
      <c r="B124" s="4">
        <v>22836</v>
      </c>
      <c r="C124" s="15">
        <v>41387</v>
      </c>
      <c r="D124" s="9">
        <v>110</v>
      </c>
      <c r="E124" s="10" t="s">
        <v>75</v>
      </c>
      <c r="F124" s="8">
        <v>4</v>
      </c>
      <c r="G124" s="10"/>
      <c r="H124" s="4" t="s">
        <v>118</v>
      </c>
      <c r="I124" s="4" t="s">
        <v>42</v>
      </c>
      <c r="J124" s="4">
        <v>4</v>
      </c>
      <c r="K124" s="23">
        <v>40</v>
      </c>
      <c r="L124">
        <f>IF(Invoices[[#This Row],[Document Type]]="Return",Invoices[[#This Row],[Unit Price]]*-1,Invoices[[#This Row],[Unit Price]])</f>
        <v>40</v>
      </c>
      <c r="M124" t="str">
        <f>IF(Invoices[[#This Row],[New Unit Price]]&lt;0,"Return",
IF(Invoices[[#This Row],[New Unit Price]]=0,"Free",IF(Invoices[[#This Row],[New Unit Price]]&lt;100,"Basic","Premium")))</f>
        <v>Basic</v>
      </c>
      <c r="N124">
        <f>VLOOKUP(Invoices[[#This Row],[Part  '#]],Products[],4,0)</f>
        <v>12.33</v>
      </c>
      <c r="O124" t="str">
        <f>VLOOKUP(Invoices[[#This Row],[Customer Account]],Customers[],4,0)</f>
        <v>Automotive</v>
      </c>
      <c r="P124" t="str">
        <f>VLOOKUP(Invoices[[#This Row],[Customer Account]],Customers[],3,0)</f>
        <v>Alabama</v>
      </c>
      <c r="Q124" t="str">
        <f>VLOOKUP(Invoices[[#This Row],[Part  '#]],Products[],3,0)</f>
        <v>Accessories</v>
      </c>
      <c r="R124" s="25">
        <f>Invoices[[#This Row],[Quantity]]*Invoices[[#This Row],[Unit Cost]]</f>
        <v>49.32</v>
      </c>
      <c r="S124" s="25">
        <f>Invoices[[#This Row],[Quantity]]*Invoices[[#This Row],[New Unit Price]]</f>
        <v>160</v>
      </c>
      <c r="T124" s="25">
        <f>Invoices[[#This Row],[Revenue]]-Invoices[[#This Row],[Cost]]</f>
        <v>110.68</v>
      </c>
      <c r="U124" s="25" t="str">
        <f>TEXT(Invoices[[#This Row],[Date]],"MMM")</f>
        <v>Apr</v>
      </c>
      <c r="V124" s="29">
        <f>CHOOSE(MONTH(Invoices[[#This Row],[Date]]),1,1,1,2,2,2,3,3,3,4,4,4)</f>
        <v>2</v>
      </c>
      <c r="W124" s="30">
        <f>IFERROR(Invoices[[#This Row],[Profit]]/Invoices[[#This Row],[Revenue]],0)</f>
        <v>0.69175000000000009</v>
      </c>
    </row>
    <row r="125" spans="1:23" x14ac:dyDescent="0.3">
      <c r="A125" s="19" t="s">
        <v>5</v>
      </c>
      <c r="B125" s="4">
        <v>22836</v>
      </c>
      <c r="C125" s="15">
        <v>41387</v>
      </c>
      <c r="D125" s="9">
        <v>110</v>
      </c>
      <c r="E125" s="10" t="s">
        <v>75</v>
      </c>
      <c r="F125" s="8">
        <v>5</v>
      </c>
      <c r="G125" s="10"/>
      <c r="H125" s="4" t="s">
        <v>123</v>
      </c>
      <c r="I125" s="4" t="s">
        <v>38</v>
      </c>
      <c r="J125" s="4">
        <v>20</v>
      </c>
      <c r="K125" s="23">
        <v>20</v>
      </c>
      <c r="L125">
        <f>IF(Invoices[[#This Row],[Document Type]]="Return",Invoices[[#This Row],[Unit Price]]*-1,Invoices[[#This Row],[Unit Price]])</f>
        <v>20</v>
      </c>
      <c r="M125" t="str">
        <f>IF(Invoices[[#This Row],[New Unit Price]]&lt;0,"Return",
IF(Invoices[[#This Row],[New Unit Price]]=0,"Free",IF(Invoices[[#This Row],[New Unit Price]]&lt;100,"Basic","Premium")))</f>
        <v>Basic</v>
      </c>
      <c r="N125">
        <f>VLOOKUP(Invoices[[#This Row],[Part  '#]],Products[],4,0)</f>
        <v>4.58</v>
      </c>
      <c r="O125" t="str">
        <f>VLOOKUP(Invoices[[#This Row],[Customer Account]],Customers[],4,0)</f>
        <v>Automotive</v>
      </c>
      <c r="P125" t="str">
        <f>VLOOKUP(Invoices[[#This Row],[Customer Account]],Customers[],3,0)</f>
        <v>Alabama</v>
      </c>
      <c r="Q125" t="str">
        <f>VLOOKUP(Invoices[[#This Row],[Part  '#]],Products[],3,0)</f>
        <v>Consumables</v>
      </c>
      <c r="R125" s="25">
        <f>Invoices[[#This Row],[Quantity]]*Invoices[[#This Row],[Unit Cost]]</f>
        <v>91.6</v>
      </c>
      <c r="S125" s="25">
        <f>Invoices[[#This Row],[Quantity]]*Invoices[[#This Row],[New Unit Price]]</f>
        <v>400</v>
      </c>
      <c r="T125" s="25">
        <f>Invoices[[#This Row],[Revenue]]-Invoices[[#This Row],[Cost]]</f>
        <v>308.39999999999998</v>
      </c>
      <c r="U125" s="25" t="str">
        <f>TEXT(Invoices[[#This Row],[Date]],"MMM")</f>
        <v>Apr</v>
      </c>
      <c r="V125" s="29">
        <f>CHOOSE(MONTH(Invoices[[#This Row],[Date]]),1,1,1,2,2,2,3,3,3,4,4,4)</f>
        <v>2</v>
      </c>
      <c r="W125" s="30">
        <f>IFERROR(Invoices[[#This Row],[Profit]]/Invoices[[#This Row],[Revenue]],0)</f>
        <v>0.77099999999999991</v>
      </c>
    </row>
    <row r="126" spans="1:23" x14ac:dyDescent="0.3">
      <c r="A126" s="19" t="s">
        <v>5</v>
      </c>
      <c r="B126" s="4">
        <v>22837</v>
      </c>
      <c r="C126" s="15">
        <v>41395</v>
      </c>
      <c r="D126" s="9">
        <v>101</v>
      </c>
      <c r="E126" s="10" t="s">
        <v>61</v>
      </c>
      <c r="F126" s="8">
        <v>1</v>
      </c>
      <c r="G126" s="10"/>
      <c r="H126" s="4" t="s">
        <v>125</v>
      </c>
      <c r="I126" s="4" t="s">
        <v>40</v>
      </c>
      <c r="J126" s="4">
        <v>120</v>
      </c>
      <c r="K126" s="23">
        <v>24</v>
      </c>
      <c r="L126">
        <f>IF(Invoices[[#This Row],[Document Type]]="Return",Invoices[[#This Row],[Unit Price]]*-1,Invoices[[#This Row],[Unit Price]])</f>
        <v>24</v>
      </c>
      <c r="M126" t="str">
        <f>IF(Invoices[[#This Row],[New Unit Price]]&lt;0,"Return",
IF(Invoices[[#This Row],[New Unit Price]]=0,"Free",IF(Invoices[[#This Row],[New Unit Price]]&lt;100,"Basic","Premium")))</f>
        <v>Basic</v>
      </c>
      <c r="N126">
        <f>VLOOKUP(Invoices[[#This Row],[Part  '#]],Products[],4,0)</f>
        <v>6.9</v>
      </c>
      <c r="O126" t="str">
        <f>VLOOKUP(Invoices[[#This Row],[Customer Account]],Customers[],4,0)</f>
        <v>Automotive</v>
      </c>
      <c r="P126" t="str">
        <f>VLOOKUP(Invoices[[#This Row],[Customer Account]],Customers[],3,0)</f>
        <v>Georgia</v>
      </c>
      <c r="Q126" t="str">
        <f>VLOOKUP(Invoices[[#This Row],[Part  '#]],Products[],3,0)</f>
        <v>Consumables</v>
      </c>
      <c r="R126" s="25">
        <f>Invoices[[#This Row],[Quantity]]*Invoices[[#This Row],[Unit Cost]]</f>
        <v>828</v>
      </c>
      <c r="S126" s="25">
        <f>Invoices[[#This Row],[Quantity]]*Invoices[[#This Row],[New Unit Price]]</f>
        <v>2880</v>
      </c>
      <c r="T126" s="25">
        <f>Invoices[[#This Row],[Revenue]]-Invoices[[#This Row],[Cost]]</f>
        <v>2052</v>
      </c>
      <c r="U126" s="25" t="str">
        <f>TEXT(Invoices[[#This Row],[Date]],"MMM")</f>
        <v>May</v>
      </c>
      <c r="V126" s="29">
        <f>CHOOSE(MONTH(Invoices[[#This Row],[Date]]),1,1,1,2,2,2,3,3,3,4,4,4)</f>
        <v>2</v>
      </c>
      <c r="W126" s="30">
        <f>IFERROR(Invoices[[#This Row],[Profit]]/Invoices[[#This Row],[Revenue]],0)</f>
        <v>0.71250000000000002</v>
      </c>
    </row>
    <row r="127" spans="1:23" x14ac:dyDescent="0.3">
      <c r="A127" s="19" t="s">
        <v>5</v>
      </c>
      <c r="B127" s="4">
        <v>22837</v>
      </c>
      <c r="C127" s="15">
        <v>41395</v>
      </c>
      <c r="D127" s="9">
        <v>101</v>
      </c>
      <c r="E127" s="10" t="s">
        <v>61</v>
      </c>
      <c r="F127" s="8">
        <v>2</v>
      </c>
      <c r="G127" s="10"/>
      <c r="H127" s="4" t="s">
        <v>132</v>
      </c>
      <c r="I127" s="4" t="s">
        <v>49</v>
      </c>
      <c r="J127" s="4">
        <v>12</v>
      </c>
      <c r="K127" s="23">
        <v>70</v>
      </c>
      <c r="L127">
        <f>IF(Invoices[[#This Row],[Document Type]]="Return",Invoices[[#This Row],[Unit Price]]*-1,Invoices[[#This Row],[Unit Price]])</f>
        <v>70</v>
      </c>
      <c r="M127" t="str">
        <f>IF(Invoices[[#This Row],[New Unit Price]]&lt;0,"Return",
IF(Invoices[[#This Row],[New Unit Price]]=0,"Free",IF(Invoices[[#This Row],[New Unit Price]]&lt;100,"Basic","Premium")))</f>
        <v>Basic</v>
      </c>
      <c r="N127">
        <f>VLOOKUP(Invoices[[#This Row],[Part  '#]],Products[],4,0)</f>
        <v>13.92</v>
      </c>
      <c r="O127" t="str">
        <f>VLOOKUP(Invoices[[#This Row],[Customer Account]],Customers[],4,0)</f>
        <v>Automotive</v>
      </c>
      <c r="P127" t="str">
        <f>VLOOKUP(Invoices[[#This Row],[Customer Account]],Customers[],3,0)</f>
        <v>Georgia</v>
      </c>
      <c r="Q127" t="str">
        <f>VLOOKUP(Invoices[[#This Row],[Part  '#]],Products[],3,0)</f>
        <v>Consumables</v>
      </c>
      <c r="R127" s="25">
        <f>Invoices[[#This Row],[Quantity]]*Invoices[[#This Row],[Unit Cost]]</f>
        <v>167.04</v>
      </c>
      <c r="S127" s="25">
        <f>Invoices[[#This Row],[Quantity]]*Invoices[[#This Row],[New Unit Price]]</f>
        <v>840</v>
      </c>
      <c r="T127" s="25">
        <f>Invoices[[#This Row],[Revenue]]-Invoices[[#This Row],[Cost]]</f>
        <v>672.96</v>
      </c>
      <c r="U127" s="25" t="str">
        <f>TEXT(Invoices[[#This Row],[Date]],"MMM")</f>
        <v>May</v>
      </c>
      <c r="V127" s="29">
        <f>CHOOSE(MONTH(Invoices[[#This Row],[Date]]),1,1,1,2,2,2,3,3,3,4,4,4)</f>
        <v>2</v>
      </c>
      <c r="W127" s="30">
        <f>IFERROR(Invoices[[#This Row],[Profit]]/Invoices[[#This Row],[Revenue]],0)</f>
        <v>0.80114285714285716</v>
      </c>
    </row>
    <row r="128" spans="1:23" x14ac:dyDescent="0.3">
      <c r="A128" s="19" t="s">
        <v>5</v>
      </c>
      <c r="B128" s="4">
        <v>22838</v>
      </c>
      <c r="C128" s="15">
        <v>41395</v>
      </c>
      <c r="D128" s="9">
        <v>106</v>
      </c>
      <c r="E128" s="10" t="s">
        <v>69</v>
      </c>
      <c r="F128" s="8">
        <v>1</v>
      </c>
      <c r="G128" s="10"/>
      <c r="H128" s="4" t="s">
        <v>123</v>
      </c>
      <c r="I128" s="4" t="s">
        <v>38</v>
      </c>
      <c r="J128" s="4">
        <v>80</v>
      </c>
      <c r="K128" s="23">
        <v>18</v>
      </c>
      <c r="L128">
        <f>IF(Invoices[[#This Row],[Document Type]]="Return",Invoices[[#This Row],[Unit Price]]*-1,Invoices[[#This Row],[Unit Price]])</f>
        <v>18</v>
      </c>
      <c r="M128" t="str">
        <f>IF(Invoices[[#This Row],[New Unit Price]]&lt;0,"Return",
IF(Invoices[[#This Row],[New Unit Price]]=0,"Free",IF(Invoices[[#This Row],[New Unit Price]]&lt;100,"Basic","Premium")))</f>
        <v>Basic</v>
      </c>
      <c r="N128">
        <f>VLOOKUP(Invoices[[#This Row],[Part  '#]],Products[],4,0)</f>
        <v>4.58</v>
      </c>
      <c r="O128" t="str">
        <f>VLOOKUP(Invoices[[#This Row],[Customer Account]],Customers[],4,0)</f>
        <v>Automotive</v>
      </c>
      <c r="P128" t="str">
        <f>VLOOKUP(Invoices[[#This Row],[Customer Account]],Customers[],3,0)</f>
        <v>Tennessee</v>
      </c>
      <c r="Q128" t="str">
        <f>VLOOKUP(Invoices[[#This Row],[Part  '#]],Products[],3,0)</f>
        <v>Consumables</v>
      </c>
      <c r="R128" s="25">
        <f>Invoices[[#This Row],[Quantity]]*Invoices[[#This Row],[Unit Cost]]</f>
        <v>366.4</v>
      </c>
      <c r="S128" s="25">
        <f>Invoices[[#This Row],[Quantity]]*Invoices[[#This Row],[New Unit Price]]</f>
        <v>1440</v>
      </c>
      <c r="T128" s="25">
        <f>Invoices[[#This Row],[Revenue]]-Invoices[[#This Row],[Cost]]</f>
        <v>1073.5999999999999</v>
      </c>
      <c r="U128" s="25" t="str">
        <f>TEXT(Invoices[[#This Row],[Date]],"MMM")</f>
        <v>May</v>
      </c>
      <c r="V128" s="29">
        <f>CHOOSE(MONTH(Invoices[[#This Row],[Date]]),1,1,1,2,2,2,3,3,3,4,4,4)</f>
        <v>2</v>
      </c>
      <c r="W128" s="30">
        <f>IFERROR(Invoices[[#This Row],[Profit]]/Invoices[[#This Row],[Revenue]],0)</f>
        <v>0.74555555555555553</v>
      </c>
    </row>
    <row r="129" spans="1:23" x14ac:dyDescent="0.3">
      <c r="A129" s="19" t="s">
        <v>5</v>
      </c>
      <c r="B129" s="4">
        <v>22838</v>
      </c>
      <c r="C129" s="15">
        <v>41395</v>
      </c>
      <c r="D129" s="9">
        <v>106</v>
      </c>
      <c r="E129" s="10" t="s">
        <v>69</v>
      </c>
      <c r="F129" s="8">
        <v>2</v>
      </c>
      <c r="G129" s="10"/>
      <c r="H129" s="4" t="s">
        <v>132</v>
      </c>
      <c r="I129" s="4" t="s">
        <v>49</v>
      </c>
      <c r="J129" s="4">
        <v>20</v>
      </c>
      <c r="K129" s="23">
        <v>70</v>
      </c>
      <c r="L129">
        <f>IF(Invoices[[#This Row],[Document Type]]="Return",Invoices[[#This Row],[Unit Price]]*-1,Invoices[[#This Row],[Unit Price]])</f>
        <v>70</v>
      </c>
      <c r="M129" t="str">
        <f>IF(Invoices[[#This Row],[New Unit Price]]&lt;0,"Return",
IF(Invoices[[#This Row],[New Unit Price]]=0,"Free",IF(Invoices[[#This Row],[New Unit Price]]&lt;100,"Basic","Premium")))</f>
        <v>Basic</v>
      </c>
      <c r="N129">
        <f>VLOOKUP(Invoices[[#This Row],[Part  '#]],Products[],4,0)</f>
        <v>13.92</v>
      </c>
      <c r="O129" t="str">
        <f>VLOOKUP(Invoices[[#This Row],[Customer Account]],Customers[],4,0)</f>
        <v>Automotive</v>
      </c>
      <c r="P129" t="str">
        <f>VLOOKUP(Invoices[[#This Row],[Customer Account]],Customers[],3,0)</f>
        <v>Tennessee</v>
      </c>
      <c r="Q129" t="str">
        <f>VLOOKUP(Invoices[[#This Row],[Part  '#]],Products[],3,0)</f>
        <v>Consumables</v>
      </c>
      <c r="R129" s="25">
        <f>Invoices[[#This Row],[Quantity]]*Invoices[[#This Row],[Unit Cost]]</f>
        <v>278.39999999999998</v>
      </c>
      <c r="S129" s="25">
        <f>Invoices[[#This Row],[Quantity]]*Invoices[[#This Row],[New Unit Price]]</f>
        <v>1400</v>
      </c>
      <c r="T129" s="25">
        <f>Invoices[[#This Row],[Revenue]]-Invoices[[#This Row],[Cost]]</f>
        <v>1121.5999999999999</v>
      </c>
      <c r="U129" s="25" t="str">
        <f>TEXT(Invoices[[#This Row],[Date]],"MMM")</f>
        <v>May</v>
      </c>
      <c r="V129" s="29">
        <f>CHOOSE(MONTH(Invoices[[#This Row],[Date]]),1,1,1,2,2,2,3,3,3,4,4,4)</f>
        <v>2</v>
      </c>
      <c r="W129" s="30">
        <f>IFERROR(Invoices[[#This Row],[Profit]]/Invoices[[#This Row],[Revenue]],0)</f>
        <v>0.80114285714285705</v>
      </c>
    </row>
    <row r="130" spans="1:23" x14ac:dyDescent="0.3">
      <c r="A130" s="19" t="s">
        <v>5</v>
      </c>
      <c r="B130" s="4">
        <v>22839</v>
      </c>
      <c r="C130" s="15">
        <v>41395</v>
      </c>
      <c r="D130" s="9">
        <v>107</v>
      </c>
      <c r="E130" s="10" t="s">
        <v>72</v>
      </c>
      <c r="F130" s="8">
        <v>1</v>
      </c>
      <c r="G130" s="10"/>
      <c r="H130" s="4" t="s">
        <v>125</v>
      </c>
      <c r="I130" s="4" t="s">
        <v>40</v>
      </c>
      <c r="J130" s="4">
        <v>10</v>
      </c>
      <c r="K130" s="23">
        <v>30</v>
      </c>
      <c r="L130">
        <f>IF(Invoices[[#This Row],[Document Type]]="Return",Invoices[[#This Row],[Unit Price]]*-1,Invoices[[#This Row],[Unit Price]])</f>
        <v>30</v>
      </c>
      <c r="M130" t="str">
        <f>IF(Invoices[[#This Row],[New Unit Price]]&lt;0,"Return",
IF(Invoices[[#This Row],[New Unit Price]]=0,"Free",IF(Invoices[[#This Row],[New Unit Price]]&lt;100,"Basic","Premium")))</f>
        <v>Basic</v>
      </c>
      <c r="N130">
        <f>VLOOKUP(Invoices[[#This Row],[Part  '#]],Products[],4,0)</f>
        <v>6.9</v>
      </c>
      <c r="O130" t="str">
        <f>VLOOKUP(Invoices[[#This Row],[Customer Account]],Customers[],4,0)</f>
        <v>Financial</v>
      </c>
      <c r="P130" t="str">
        <f>VLOOKUP(Invoices[[#This Row],[Customer Account]],Customers[],3,0)</f>
        <v>Georgia</v>
      </c>
      <c r="Q130" t="str">
        <f>VLOOKUP(Invoices[[#This Row],[Part  '#]],Products[],3,0)</f>
        <v>Consumables</v>
      </c>
      <c r="R130" s="25">
        <f>Invoices[[#This Row],[Quantity]]*Invoices[[#This Row],[Unit Cost]]</f>
        <v>69</v>
      </c>
      <c r="S130" s="25">
        <f>Invoices[[#This Row],[Quantity]]*Invoices[[#This Row],[New Unit Price]]</f>
        <v>300</v>
      </c>
      <c r="T130" s="25">
        <f>Invoices[[#This Row],[Revenue]]-Invoices[[#This Row],[Cost]]</f>
        <v>231</v>
      </c>
      <c r="U130" s="25" t="str">
        <f>TEXT(Invoices[[#This Row],[Date]],"MMM")</f>
        <v>May</v>
      </c>
      <c r="V130" s="29">
        <f>CHOOSE(MONTH(Invoices[[#This Row],[Date]]),1,1,1,2,2,2,3,3,3,4,4,4)</f>
        <v>2</v>
      </c>
      <c r="W130" s="30">
        <f>IFERROR(Invoices[[#This Row],[Profit]]/Invoices[[#This Row],[Revenue]],0)</f>
        <v>0.77</v>
      </c>
    </row>
    <row r="131" spans="1:23" x14ac:dyDescent="0.3">
      <c r="A131" s="19" t="s">
        <v>5</v>
      </c>
      <c r="B131" s="4">
        <v>22839</v>
      </c>
      <c r="C131" s="15">
        <v>41395</v>
      </c>
      <c r="D131" s="9">
        <v>107</v>
      </c>
      <c r="E131" s="10" t="s">
        <v>72</v>
      </c>
      <c r="F131" s="8">
        <v>2</v>
      </c>
      <c r="G131" s="10"/>
      <c r="H131" s="4" t="s">
        <v>132</v>
      </c>
      <c r="I131" s="4" t="s">
        <v>49</v>
      </c>
      <c r="J131" s="4">
        <v>2</v>
      </c>
      <c r="K131" s="23">
        <v>70</v>
      </c>
      <c r="L131">
        <f>IF(Invoices[[#This Row],[Document Type]]="Return",Invoices[[#This Row],[Unit Price]]*-1,Invoices[[#This Row],[Unit Price]])</f>
        <v>70</v>
      </c>
      <c r="M131" t="str">
        <f>IF(Invoices[[#This Row],[New Unit Price]]&lt;0,"Return",
IF(Invoices[[#This Row],[New Unit Price]]=0,"Free",IF(Invoices[[#This Row],[New Unit Price]]&lt;100,"Basic","Premium")))</f>
        <v>Basic</v>
      </c>
      <c r="N131">
        <f>VLOOKUP(Invoices[[#This Row],[Part  '#]],Products[],4,0)</f>
        <v>13.92</v>
      </c>
      <c r="O131" t="str">
        <f>VLOOKUP(Invoices[[#This Row],[Customer Account]],Customers[],4,0)</f>
        <v>Financial</v>
      </c>
      <c r="P131" t="str">
        <f>VLOOKUP(Invoices[[#This Row],[Customer Account]],Customers[],3,0)</f>
        <v>Georgia</v>
      </c>
      <c r="Q131" t="str">
        <f>VLOOKUP(Invoices[[#This Row],[Part  '#]],Products[],3,0)</f>
        <v>Consumables</v>
      </c>
      <c r="R131" s="25">
        <f>Invoices[[#This Row],[Quantity]]*Invoices[[#This Row],[Unit Cost]]</f>
        <v>27.84</v>
      </c>
      <c r="S131" s="25">
        <f>Invoices[[#This Row],[Quantity]]*Invoices[[#This Row],[New Unit Price]]</f>
        <v>140</v>
      </c>
      <c r="T131" s="25">
        <f>Invoices[[#This Row],[Revenue]]-Invoices[[#This Row],[Cost]]</f>
        <v>112.16</v>
      </c>
      <c r="U131" s="25" t="str">
        <f>TEXT(Invoices[[#This Row],[Date]],"MMM")</f>
        <v>May</v>
      </c>
      <c r="V131" s="29">
        <f>CHOOSE(MONTH(Invoices[[#This Row],[Date]]),1,1,1,2,2,2,3,3,3,4,4,4)</f>
        <v>2</v>
      </c>
      <c r="W131" s="30">
        <f>IFERROR(Invoices[[#This Row],[Profit]]/Invoices[[#This Row],[Revenue]],0)</f>
        <v>0.80114285714285716</v>
      </c>
    </row>
    <row r="132" spans="1:23" x14ac:dyDescent="0.3">
      <c r="A132" s="19" t="s">
        <v>5</v>
      </c>
      <c r="B132" s="4">
        <v>22840</v>
      </c>
      <c r="C132" s="15">
        <v>41395</v>
      </c>
      <c r="D132" s="9">
        <v>112</v>
      </c>
      <c r="E132" s="10" t="s">
        <v>80</v>
      </c>
      <c r="F132" s="8">
        <v>1</v>
      </c>
      <c r="G132" s="10"/>
      <c r="H132" s="4" t="s">
        <v>132</v>
      </c>
      <c r="I132" s="4" t="s">
        <v>49</v>
      </c>
      <c r="J132" s="4">
        <v>5</v>
      </c>
      <c r="K132" s="23">
        <v>70</v>
      </c>
      <c r="L132">
        <f>IF(Invoices[[#This Row],[Document Type]]="Return",Invoices[[#This Row],[Unit Price]]*-1,Invoices[[#This Row],[Unit Price]])</f>
        <v>70</v>
      </c>
      <c r="M132" t="str">
        <f>IF(Invoices[[#This Row],[New Unit Price]]&lt;0,"Return",
IF(Invoices[[#This Row],[New Unit Price]]=0,"Free",IF(Invoices[[#This Row],[New Unit Price]]&lt;100,"Basic","Premium")))</f>
        <v>Basic</v>
      </c>
      <c r="N132">
        <f>VLOOKUP(Invoices[[#This Row],[Part  '#]],Products[],4,0)</f>
        <v>13.92</v>
      </c>
      <c r="O132" t="str">
        <f>VLOOKUP(Invoices[[#This Row],[Customer Account]],Customers[],4,0)</f>
        <v>Financial</v>
      </c>
      <c r="P132" t="str">
        <f>VLOOKUP(Invoices[[#This Row],[Customer Account]],Customers[],3,0)</f>
        <v>Georgia</v>
      </c>
      <c r="Q132" t="str">
        <f>VLOOKUP(Invoices[[#This Row],[Part  '#]],Products[],3,0)</f>
        <v>Consumables</v>
      </c>
      <c r="R132" s="25">
        <f>Invoices[[#This Row],[Quantity]]*Invoices[[#This Row],[Unit Cost]]</f>
        <v>69.599999999999994</v>
      </c>
      <c r="S132" s="25">
        <f>Invoices[[#This Row],[Quantity]]*Invoices[[#This Row],[New Unit Price]]</f>
        <v>350</v>
      </c>
      <c r="T132" s="25">
        <f>Invoices[[#This Row],[Revenue]]-Invoices[[#This Row],[Cost]]</f>
        <v>280.39999999999998</v>
      </c>
      <c r="U132" s="25" t="str">
        <f>TEXT(Invoices[[#This Row],[Date]],"MMM")</f>
        <v>May</v>
      </c>
      <c r="V132" s="29">
        <f>CHOOSE(MONTH(Invoices[[#This Row],[Date]]),1,1,1,2,2,2,3,3,3,4,4,4)</f>
        <v>2</v>
      </c>
      <c r="W132" s="30">
        <f>IFERROR(Invoices[[#This Row],[Profit]]/Invoices[[#This Row],[Revenue]],0)</f>
        <v>0.80114285714285705</v>
      </c>
    </row>
    <row r="133" spans="1:23" x14ac:dyDescent="0.3">
      <c r="A133" s="19" t="s">
        <v>5</v>
      </c>
      <c r="B133" s="4">
        <v>22840</v>
      </c>
      <c r="C133" s="15">
        <v>41395</v>
      </c>
      <c r="D133" s="9">
        <v>112</v>
      </c>
      <c r="E133" s="10" t="s">
        <v>80</v>
      </c>
      <c r="F133" s="8">
        <v>2</v>
      </c>
      <c r="G133" s="10"/>
      <c r="H133" s="4" t="s">
        <v>125</v>
      </c>
      <c r="I133" s="4" t="s">
        <v>40</v>
      </c>
      <c r="J133" s="4">
        <v>5</v>
      </c>
      <c r="K133" s="23">
        <v>30</v>
      </c>
      <c r="L133">
        <f>IF(Invoices[[#This Row],[Document Type]]="Return",Invoices[[#This Row],[Unit Price]]*-1,Invoices[[#This Row],[Unit Price]])</f>
        <v>30</v>
      </c>
      <c r="M133" t="str">
        <f>IF(Invoices[[#This Row],[New Unit Price]]&lt;0,"Return",
IF(Invoices[[#This Row],[New Unit Price]]=0,"Free",IF(Invoices[[#This Row],[New Unit Price]]&lt;100,"Basic","Premium")))</f>
        <v>Basic</v>
      </c>
      <c r="N133">
        <f>VLOOKUP(Invoices[[#This Row],[Part  '#]],Products[],4,0)</f>
        <v>6.9</v>
      </c>
      <c r="O133" t="str">
        <f>VLOOKUP(Invoices[[#This Row],[Customer Account]],Customers[],4,0)</f>
        <v>Financial</v>
      </c>
      <c r="P133" t="str">
        <f>VLOOKUP(Invoices[[#This Row],[Customer Account]],Customers[],3,0)</f>
        <v>Georgia</v>
      </c>
      <c r="Q133" t="str">
        <f>VLOOKUP(Invoices[[#This Row],[Part  '#]],Products[],3,0)</f>
        <v>Consumables</v>
      </c>
      <c r="R133" s="25">
        <f>Invoices[[#This Row],[Quantity]]*Invoices[[#This Row],[Unit Cost]]</f>
        <v>34.5</v>
      </c>
      <c r="S133" s="25">
        <f>Invoices[[#This Row],[Quantity]]*Invoices[[#This Row],[New Unit Price]]</f>
        <v>150</v>
      </c>
      <c r="T133" s="25">
        <f>Invoices[[#This Row],[Revenue]]-Invoices[[#This Row],[Cost]]</f>
        <v>115.5</v>
      </c>
      <c r="U133" s="25" t="str">
        <f>TEXT(Invoices[[#This Row],[Date]],"MMM")</f>
        <v>May</v>
      </c>
      <c r="V133" s="29">
        <f>CHOOSE(MONTH(Invoices[[#This Row],[Date]]),1,1,1,2,2,2,3,3,3,4,4,4)</f>
        <v>2</v>
      </c>
      <c r="W133" s="30">
        <f>IFERROR(Invoices[[#This Row],[Profit]]/Invoices[[#This Row],[Revenue]],0)</f>
        <v>0.77</v>
      </c>
    </row>
    <row r="134" spans="1:23" x14ac:dyDescent="0.3">
      <c r="A134" s="19" t="s">
        <v>5</v>
      </c>
      <c r="B134" s="4">
        <v>22841</v>
      </c>
      <c r="C134" s="15">
        <v>41395</v>
      </c>
      <c r="D134" s="9">
        <v>113</v>
      </c>
      <c r="E134" s="10" t="s">
        <v>81</v>
      </c>
      <c r="F134" s="8">
        <v>1</v>
      </c>
      <c r="G134" s="10"/>
      <c r="H134" s="4" t="s">
        <v>125</v>
      </c>
      <c r="I134" s="4" t="s">
        <v>40</v>
      </c>
      <c r="J134" s="4">
        <v>250</v>
      </c>
      <c r="K134" s="23">
        <v>24</v>
      </c>
      <c r="L134">
        <f>IF(Invoices[[#This Row],[Document Type]]="Return",Invoices[[#This Row],[Unit Price]]*-1,Invoices[[#This Row],[Unit Price]])</f>
        <v>24</v>
      </c>
      <c r="M134" t="str">
        <f>IF(Invoices[[#This Row],[New Unit Price]]&lt;0,"Return",
IF(Invoices[[#This Row],[New Unit Price]]=0,"Free",IF(Invoices[[#This Row],[New Unit Price]]&lt;100,"Basic","Premium")))</f>
        <v>Basic</v>
      </c>
      <c r="N134">
        <f>VLOOKUP(Invoices[[#This Row],[Part  '#]],Products[],4,0)</f>
        <v>6.9</v>
      </c>
      <c r="O134" t="str">
        <f>VLOOKUP(Invoices[[#This Row],[Customer Account]],Customers[],4,0)</f>
        <v>Financial</v>
      </c>
      <c r="P134" t="str">
        <f>VLOOKUP(Invoices[[#This Row],[Customer Account]],Customers[],3,0)</f>
        <v>Georgia</v>
      </c>
      <c r="Q134" t="str">
        <f>VLOOKUP(Invoices[[#This Row],[Part  '#]],Products[],3,0)</f>
        <v>Consumables</v>
      </c>
      <c r="R134" s="25">
        <f>Invoices[[#This Row],[Quantity]]*Invoices[[#This Row],[Unit Cost]]</f>
        <v>1725</v>
      </c>
      <c r="S134" s="25">
        <f>Invoices[[#This Row],[Quantity]]*Invoices[[#This Row],[New Unit Price]]</f>
        <v>6000</v>
      </c>
      <c r="T134" s="25">
        <f>Invoices[[#This Row],[Revenue]]-Invoices[[#This Row],[Cost]]</f>
        <v>4275</v>
      </c>
      <c r="U134" s="25" t="str">
        <f>TEXT(Invoices[[#This Row],[Date]],"MMM")</f>
        <v>May</v>
      </c>
      <c r="V134" s="29">
        <f>CHOOSE(MONTH(Invoices[[#This Row],[Date]]),1,1,1,2,2,2,3,3,3,4,4,4)</f>
        <v>2</v>
      </c>
      <c r="W134" s="30">
        <f>IFERROR(Invoices[[#This Row],[Profit]]/Invoices[[#This Row],[Revenue]],0)</f>
        <v>0.71250000000000002</v>
      </c>
    </row>
    <row r="135" spans="1:23" x14ac:dyDescent="0.3">
      <c r="A135" s="19" t="s">
        <v>5</v>
      </c>
      <c r="B135" s="4">
        <v>22841</v>
      </c>
      <c r="C135" s="15">
        <v>41395</v>
      </c>
      <c r="D135" s="9">
        <v>113</v>
      </c>
      <c r="E135" s="10" t="s">
        <v>81</v>
      </c>
      <c r="F135" s="8">
        <v>2</v>
      </c>
      <c r="G135" s="10"/>
      <c r="H135" s="4" t="s">
        <v>132</v>
      </c>
      <c r="I135" s="4" t="s">
        <v>49</v>
      </c>
      <c r="J135" s="4">
        <v>50</v>
      </c>
      <c r="K135" s="23">
        <v>70</v>
      </c>
      <c r="L135">
        <f>IF(Invoices[[#This Row],[Document Type]]="Return",Invoices[[#This Row],[Unit Price]]*-1,Invoices[[#This Row],[Unit Price]])</f>
        <v>70</v>
      </c>
      <c r="M135" t="str">
        <f>IF(Invoices[[#This Row],[New Unit Price]]&lt;0,"Return",
IF(Invoices[[#This Row],[New Unit Price]]=0,"Free",IF(Invoices[[#This Row],[New Unit Price]]&lt;100,"Basic","Premium")))</f>
        <v>Basic</v>
      </c>
      <c r="N135">
        <f>VLOOKUP(Invoices[[#This Row],[Part  '#]],Products[],4,0)</f>
        <v>13.92</v>
      </c>
      <c r="O135" t="str">
        <f>VLOOKUP(Invoices[[#This Row],[Customer Account]],Customers[],4,0)</f>
        <v>Financial</v>
      </c>
      <c r="P135" t="str">
        <f>VLOOKUP(Invoices[[#This Row],[Customer Account]],Customers[],3,0)</f>
        <v>Georgia</v>
      </c>
      <c r="Q135" t="str">
        <f>VLOOKUP(Invoices[[#This Row],[Part  '#]],Products[],3,0)</f>
        <v>Consumables</v>
      </c>
      <c r="R135" s="25">
        <f>Invoices[[#This Row],[Quantity]]*Invoices[[#This Row],[Unit Cost]]</f>
        <v>696</v>
      </c>
      <c r="S135" s="25">
        <f>Invoices[[#This Row],[Quantity]]*Invoices[[#This Row],[New Unit Price]]</f>
        <v>3500</v>
      </c>
      <c r="T135" s="25">
        <f>Invoices[[#This Row],[Revenue]]-Invoices[[#This Row],[Cost]]</f>
        <v>2804</v>
      </c>
      <c r="U135" s="25" t="str">
        <f>TEXT(Invoices[[#This Row],[Date]],"MMM")</f>
        <v>May</v>
      </c>
      <c r="V135" s="29">
        <f>CHOOSE(MONTH(Invoices[[#This Row],[Date]]),1,1,1,2,2,2,3,3,3,4,4,4)</f>
        <v>2</v>
      </c>
      <c r="W135" s="30">
        <f>IFERROR(Invoices[[#This Row],[Profit]]/Invoices[[#This Row],[Revenue]],0)</f>
        <v>0.80114285714285716</v>
      </c>
    </row>
    <row r="136" spans="1:23" x14ac:dyDescent="0.3">
      <c r="A136" s="19" t="s">
        <v>5</v>
      </c>
      <c r="B136" s="4">
        <v>22842</v>
      </c>
      <c r="C136" s="15">
        <v>41395</v>
      </c>
      <c r="D136" s="9">
        <v>117</v>
      </c>
      <c r="E136" s="10" t="s">
        <v>85</v>
      </c>
      <c r="F136" s="8">
        <v>1</v>
      </c>
      <c r="G136" s="10"/>
      <c r="H136" s="4" t="s">
        <v>132</v>
      </c>
      <c r="I136" s="4" t="s">
        <v>49</v>
      </c>
      <c r="J136" s="4">
        <v>10</v>
      </c>
      <c r="K136" s="23">
        <v>70</v>
      </c>
      <c r="L136">
        <f>IF(Invoices[[#This Row],[Document Type]]="Return",Invoices[[#This Row],[Unit Price]]*-1,Invoices[[#This Row],[Unit Price]])</f>
        <v>70</v>
      </c>
      <c r="M136" t="str">
        <f>IF(Invoices[[#This Row],[New Unit Price]]&lt;0,"Return",
IF(Invoices[[#This Row],[New Unit Price]]=0,"Free",IF(Invoices[[#This Row],[New Unit Price]]&lt;100,"Basic","Premium")))</f>
        <v>Basic</v>
      </c>
      <c r="N136">
        <f>VLOOKUP(Invoices[[#This Row],[Part  '#]],Products[],4,0)</f>
        <v>13.92</v>
      </c>
      <c r="O136" t="str">
        <f>VLOOKUP(Invoices[[#This Row],[Customer Account]],Customers[],4,0)</f>
        <v>Automotive</v>
      </c>
      <c r="P136" t="str">
        <f>VLOOKUP(Invoices[[#This Row],[Customer Account]],Customers[],3,0)</f>
        <v>Georgia</v>
      </c>
      <c r="Q136" t="str">
        <f>VLOOKUP(Invoices[[#This Row],[Part  '#]],Products[],3,0)</f>
        <v>Consumables</v>
      </c>
      <c r="R136" s="25">
        <f>Invoices[[#This Row],[Quantity]]*Invoices[[#This Row],[Unit Cost]]</f>
        <v>139.19999999999999</v>
      </c>
      <c r="S136" s="25">
        <f>Invoices[[#This Row],[Quantity]]*Invoices[[#This Row],[New Unit Price]]</f>
        <v>700</v>
      </c>
      <c r="T136" s="25">
        <f>Invoices[[#This Row],[Revenue]]-Invoices[[#This Row],[Cost]]</f>
        <v>560.79999999999995</v>
      </c>
      <c r="U136" s="25" t="str">
        <f>TEXT(Invoices[[#This Row],[Date]],"MMM")</f>
        <v>May</v>
      </c>
      <c r="V136" s="29">
        <f>CHOOSE(MONTH(Invoices[[#This Row],[Date]]),1,1,1,2,2,2,3,3,3,4,4,4)</f>
        <v>2</v>
      </c>
      <c r="W136" s="30">
        <f>IFERROR(Invoices[[#This Row],[Profit]]/Invoices[[#This Row],[Revenue]],0)</f>
        <v>0.80114285714285705</v>
      </c>
    </row>
    <row r="137" spans="1:23" x14ac:dyDescent="0.3">
      <c r="A137" s="19" t="s">
        <v>5</v>
      </c>
      <c r="B137" s="4">
        <v>22842</v>
      </c>
      <c r="C137" s="15">
        <v>41395</v>
      </c>
      <c r="D137" s="9">
        <v>117</v>
      </c>
      <c r="E137" s="10" t="s">
        <v>85</v>
      </c>
      <c r="F137" s="8">
        <v>2</v>
      </c>
      <c r="G137" s="10"/>
      <c r="H137" s="4" t="s">
        <v>125</v>
      </c>
      <c r="I137" s="4" t="s">
        <v>40</v>
      </c>
      <c r="J137" s="4">
        <v>10</v>
      </c>
      <c r="K137" s="23">
        <v>30</v>
      </c>
      <c r="L137">
        <f>IF(Invoices[[#This Row],[Document Type]]="Return",Invoices[[#This Row],[Unit Price]]*-1,Invoices[[#This Row],[Unit Price]])</f>
        <v>30</v>
      </c>
      <c r="M137" t="str">
        <f>IF(Invoices[[#This Row],[New Unit Price]]&lt;0,"Return",
IF(Invoices[[#This Row],[New Unit Price]]=0,"Free",IF(Invoices[[#This Row],[New Unit Price]]&lt;100,"Basic","Premium")))</f>
        <v>Basic</v>
      </c>
      <c r="N137">
        <f>VLOOKUP(Invoices[[#This Row],[Part  '#]],Products[],4,0)</f>
        <v>6.9</v>
      </c>
      <c r="O137" t="str">
        <f>VLOOKUP(Invoices[[#This Row],[Customer Account]],Customers[],4,0)</f>
        <v>Automotive</v>
      </c>
      <c r="P137" t="str">
        <f>VLOOKUP(Invoices[[#This Row],[Customer Account]],Customers[],3,0)</f>
        <v>Georgia</v>
      </c>
      <c r="Q137" t="str">
        <f>VLOOKUP(Invoices[[#This Row],[Part  '#]],Products[],3,0)</f>
        <v>Consumables</v>
      </c>
      <c r="R137" s="25">
        <f>Invoices[[#This Row],[Quantity]]*Invoices[[#This Row],[Unit Cost]]</f>
        <v>69</v>
      </c>
      <c r="S137" s="25">
        <f>Invoices[[#This Row],[Quantity]]*Invoices[[#This Row],[New Unit Price]]</f>
        <v>300</v>
      </c>
      <c r="T137" s="25">
        <f>Invoices[[#This Row],[Revenue]]-Invoices[[#This Row],[Cost]]</f>
        <v>231</v>
      </c>
      <c r="U137" s="25" t="str">
        <f>TEXT(Invoices[[#This Row],[Date]],"MMM")</f>
        <v>May</v>
      </c>
      <c r="V137" s="29">
        <f>CHOOSE(MONTH(Invoices[[#This Row],[Date]]),1,1,1,2,2,2,3,3,3,4,4,4)</f>
        <v>2</v>
      </c>
      <c r="W137" s="30">
        <f>IFERROR(Invoices[[#This Row],[Profit]]/Invoices[[#This Row],[Revenue]],0)</f>
        <v>0.77</v>
      </c>
    </row>
    <row r="138" spans="1:23" x14ac:dyDescent="0.3">
      <c r="A138" s="19" t="s">
        <v>5</v>
      </c>
      <c r="B138" s="4">
        <v>22843</v>
      </c>
      <c r="C138" s="15">
        <v>41396</v>
      </c>
      <c r="D138" s="9">
        <v>116</v>
      </c>
      <c r="E138" s="10" t="s">
        <v>84</v>
      </c>
      <c r="F138" s="8">
        <v>1</v>
      </c>
      <c r="G138" s="10"/>
      <c r="H138" s="4" t="s">
        <v>92</v>
      </c>
      <c r="I138" s="4" t="s">
        <v>10</v>
      </c>
      <c r="J138" s="4">
        <v>18</v>
      </c>
      <c r="K138" s="23">
        <v>1500</v>
      </c>
      <c r="L138">
        <f>IF(Invoices[[#This Row],[Document Type]]="Return",Invoices[[#This Row],[Unit Price]]*-1,Invoices[[#This Row],[Unit Price]])</f>
        <v>1500</v>
      </c>
      <c r="M138" t="str">
        <f>IF(Invoices[[#This Row],[New Unit Price]]&lt;0,"Return",
IF(Invoices[[#This Row],[New Unit Price]]=0,"Free",IF(Invoices[[#This Row],[New Unit Price]]&lt;100,"Basic","Premium")))</f>
        <v>Premium</v>
      </c>
      <c r="N138">
        <f>VLOOKUP(Invoices[[#This Row],[Part  '#]],Products[],4,0)</f>
        <v>899.1</v>
      </c>
      <c r="O138" t="str">
        <f>VLOOKUP(Invoices[[#This Row],[Customer Account]],Customers[],4,0)</f>
        <v>Automotive</v>
      </c>
      <c r="P138" t="str">
        <f>VLOOKUP(Invoices[[#This Row],[Customer Account]],Customers[],3,0)</f>
        <v>Tennessee</v>
      </c>
      <c r="Q138" t="str">
        <f>VLOOKUP(Invoices[[#This Row],[Part  '#]],Products[],3,0)</f>
        <v>Product</v>
      </c>
      <c r="R138" s="25">
        <f>Invoices[[#This Row],[Quantity]]*Invoices[[#This Row],[Unit Cost]]</f>
        <v>16183.800000000001</v>
      </c>
      <c r="S138" s="25">
        <f>Invoices[[#This Row],[Quantity]]*Invoices[[#This Row],[New Unit Price]]</f>
        <v>27000</v>
      </c>
      <c r="T138" s="25">
        <f>Invoices[[#This Row],[Revenue]]-Invoices[[#This Row],[Cost]]</f>
        <v>10816.199999999999</v>
      </c>
      <c r="U138" s="25" t="str">
        <f>TEXT(Invoices[[#This Row],[Date]],"MMM")</f>
        <v>May</v>
      </c>
      <c r="V138" s="29">
        <f>CHOOSE(MONTH(Invoices[[#This Row],[Date]]),1,1,1,2,2,2,3,3,3,4,4,4)</f>
        <v>2</v>
      </c>
      <c r="W138" s="30">
        <f>IFERROR(Invoices[[#This Row],[Profit]]/Invoices[[#This Row],[Revenue]],0)</f>
        <v>0.40059999999999996</v>
      </c>
    </row>
    <row r="139" spans="1:23" x14ac:dyDescent="0.3">
      <c r="A139" s="19" t="s">
        <v>5</v>
      </c>
      <c r="B139" s="4">
        <v>22843</v>
      </c>
      <c r="C139" s="15">
        <v>41396</v>
      </c>
      <c r="D139" s="9">
        <v>116</v>
      </c>
      <c r="E139" s="10" t="s">
        <v>84</v>
      </c>
      <c r="F139" s="8">
        <v>2</v>
      </c>
      <c r="G139" s="10"/>
      <c r="H139" s="4" t="s">
        <v>109</v>
      </c>
      <c r="I139" s="4" t="s">
        <v>24</v>
      </c>
      <c r="J139" s="4">
        <v>18</v>
      </c>
      <c r="K139" s="23">
        <v>0</v>
      </c>
      <c r="L139">
        <f>IF(Invoices[[#This Row],[Document Type]]="Return",Invoices[[#This Row],[Unit Price]]*-1,Invoices[[#This Row],[Unit Price]])</f>
        <v>0</v>
      </c>
      <c r="M139" t="str">
        <f>IF(Invoices[[#This Row],[New Unit Price]]&lt;0,"Return",
IF(Invoices[[#This Row],[New Unit Price]]=0,"Free",IF(Invoices[[#This Row],[New Unit Price]]&lt;100,"Basic","Premium")))</f>
        <v>Free</v>
      </c>
      <c r="N139">
        <f>VLOOKUP(Invoices[[#This Row],[Part  '#]],Products[],4,0)</f>
        <v>12.17</v>
      </c>
      <c r="O139" t="str">
        <f>VLOOKUP(Invoices[[#This Row],[Customer Account]],Customers[],4,0)</f>
        <v>Automotive</v>
      </c>
      <c r="P139" t="str">
        <f>VLOOKUP(Invoices[[#This Row],[Customer Account]],Customers[],3,0)</f>
        <v>Tennessee</v>
      </c>
      <c r="Q139" t="str">
        <f>VLOOKUP(Invoices[[#This Row],[Part  '#]],Products[],3,0)</f>
        <v>Accessories</v>
      </c>
      <c r="R139" s="25">
        <f>Invoices[[#This Row],[Quantity]]*Invoices[[#This Row],[Unit Cost]]</f>
        <v>219.06</v>
      </c>
      <c r="S139" s="25">
        <f>Invoices[[#This Row],[Quantity]]*Invoices[[#This Row],[New Unit Price]]</f>
        <v>0</v>
      </c>
      <c r="T139" s="25">
        <f>Invoices[[#This Row],[Revenue]]-Invoices[[#This Row],[Cost]]</f>
        <v>-219.06</v>
      </c>
      <c r="U139" s="25" t="str">
        <f>TEXT(Invoices[[#This Row],[Date]],"MMM")</f>
        <v>May</v>
      </c>
      <c r="V139" s="29">
        <f>CHOOSE(MONTH(Invoices[[#This Row],[Date]]),1,1,1,2,2,2,3,3,3,4,4,4)</f>
        <v>2</v>
      </c>
      <c r="W139" s="30">
        <f>IFERROR(Invoices[[#This Row],[Profit]]/Invoices[[#This Row],[Revenue]],0)</f>
        <v>0</v>
      </c>
    </row>
    <row r="140" spans="1:23" x14ac:dyDescent="0.3">
      <c r="A140" s="19" t="s">
        <v>5</v>
      </c>
      <c r="B140" s="4">
        <v>22843</v>
      </c>
      <c r="C140" s="15">
        <v>41396</v>
      </c>
      <c r="D140" s="9">
        <v>116</v>
      </c>
      <c r="E140" s="10" t="s">
        <v>84</v>
      </c>
      <c r="F140" s="8">
        <v>3</v>
      </c>
      <c r="G140" s="10"/>
      <c r="H140" s="4" t="s">
        <v>116</v>
      </c>
      <c r="I140" s="4" t="s">
        <v>32</v>
      </c>
      <c r="J140" s="4">
        <v>18</v>
      </c>
      <c r="K140" s="23">
        <v>0</v>
      </c>
      <c r="L140">
        <f>IF(Invoices[[#This Row],[Document Type]]="Return",Invoices[[#This Row],[Unit Price]]*-1,Invoices[[#This Row],[Unit Price]])</f>
        <v>0</v>
      </c>
      <c r="M140" t="str">
        <f>IF(Invoices[[#This Row],[New Unit Price]]&lt;0,"Return",
IF(Invoices[[#This Row],[New Unit Price]]=0,"Free",IF(Invoices[[#This Row],[New Unit Price]]&lt;100,"Basic","Premium")))</f>
        <v>Free</v>
      </c>
      <c r="N140">
        <f>VLOOKUP(Invoices[[#This Row],[Part  '#]],Products[],4,0)</f>
        <v>8.15</v>
      </c>
      <c r="O140" t="str">
        <f>VLOOKUP(Invoices[[#This Row],[Customer Account]],Customers[],4,0)</f>
        <v>Automotive</v>
      </c>
      <c r="P140" t="str">
        <f>VLOOKUP(Invoices[[#This Row],[Customer Account]],Customers[],3,0)</f>
        <v>Tennessee</v>
      </c>
      <c r="Q140" t="str">
        <f>VLOOKUP(Invoices[[#This Row],[Part  '#]],Products[],3,0)</f>
        <v>Accessories</v>
      </c>
      <c r="R140" s="25">
        <f>Invoices[[#This Row],[Quantity]]*Invoices[[#This Row],[Unit Cost]]</f>
        <v>146.70000000000002</v>
      </c>
      <c r="S140" s="25">
        <f>Invoices[[#This Row],[Quantity]]*Invoices[[#This Row],[New Unit Price]]</f>
        <v>0</v>
      </c>
      <c r="T140" s="25">
        <f>Invoices[[#This Row],[Revenue]]-Invoices[[#This Row],[Cost]]</f>
        <v>-146.70000000000002</v>
      </c>
      <c r="U140" s="25" t="str">
        <f>TEXT(Invoices[[#This Row],[Date]],"MMM")</f>
        <v>May</v>
      </c>
      <c r="V140" s="29">
        <f>CHOOSE(MONTH(Invoices[[#This Row],[Date]]),1,1,1,2,2,2,3,3,3,4,4,4)</f>
        <v>2</v>
      </c>
      <c r="W140" s="30">
        <f>IFERROR(Invoices[[#This Row],[Profit]]/Invoices[[#This Row],[Revenue]],0)</f>
        <v>0</v>
      </c>
    </row>
    <row r="141" spans="1:23" x14ac:dyDescent="0.3">
      <c r="A141" s="19" t="s">
        <v>5</v>
      </c>
      <c r="B141" s="4">
        <v>22843</v>
      </c>
      <c r="C141" s="15">
        <v>41396</v>
      </c>
      <c r="D141" s="9">
        <v>116</v>
      </c>
      <c r="E141" s="10" t="s">
        <v>84</v>
      </c>
      <c r="F141" s="8">
        <v>4</v>
      </c>
      <c r="G141" s="10"/>
      <c r="H141" s="4" t="s">
        <v>118</v>
      </c>
      <c r="I141" s="4" t="s">
        <v>42</v>
      </c>
      <c r="J141" s="4">
        <v>18</v>
      </c>
      <c r="K141" s="23">
        <v>0</v>
      </c>
      <c r="L141">
        <f>IF(Invoices[[#This Row],[Document Type]]="Return",Invoices[[#This Row],[Unit Price]]*-1,Invoices[[#This Row],[Unit Price]])</f>
        <v>0</v>
      </c>
      <c r="M141" t="str">
        <f>IF(Invoices[[#This Row],[New Unit Price]]&lt;0,"Return",
IF(Invoices[[#This Row],[New Unit Price]]=0,"Free",IF(Invoices[[#This Row],[New Unit Price]]&lt;100,"Basic","Premium")))</f>
        <v>Free</v>
      </c>
      <c r="N141">
        <f>VLOOKUP(Invoices[[#This Row],[Part  '#]],Products[],4,0)</f>
        <v>12.33</v>
      </c>
      <c r="O141" t="str">
        <f>VLOOKUP(Invoices[[#This Row],[Customer Account]],Customers[],4,0)</f>
        <v>Automotive</v>
      </c>
      <c r="P141" t="str">
        <f>VLOOKUP(Invoices[[#This Row],[Customer Account]],Customers[],3,0)</f>
        <v>Tennessee</v>
      </c>
      <c r="Q141" t="str">
        <f>VLOOKUP(Invoices[[#This Row],[Part  '#]],Products[],3,0)</f>
        <v>Accessories</v>
      </c>
      <c r="R141" s="25">
        <f>Invoices[[#This Row],[Quantity]]*Invoices[[#This Row],[Unit Cost]]</f>
        <v>221.94</v>
      </c>
      <c r="S141" s="25">
        <f>Invoices[[#This Row],[Quantity]]*Invoices[[#This Row],[New Unit Price]]</f>
        <v>0</v>
      </c>
      <c r="T141" s="25">
        <f>Invoices[[#This Row],[Revenue]]-Invoices[[#This Row],[Cost]]</f>
        <v>-221.94</v>
      </c>
      <c r="U141" s="25" t="str">
        <f>TEXT(Invoices[[#This Row],[Date]],"MMM")</f>
        <v>May</v>
      </c>
      <c r="V141" s="29">
        <f>CHOOSE(MONTH(Invoices[[#This Row],[Date]]),1,1,1,2,2,2,3,3,3,4,4,4)</f>
        <v>2</v>
      </c>
      <c r="W141" s="30">
        <f>IFERROR(Invoices[[#This Row],[Profit]]/Invoices[[#This Row],[Revenue]],0)</f>
        <v>0</v>
      </c>
    </row>
    <row r="142" spans="1:23" x14ac:dyDescent="0.3">
      <c r="A142" s="19" t="s">
        <v>5</v>
      </c>
      <c r="B142" s="4">
        <v>22843</v>
      </c>
      <c r="C142" s="15">
        <v>41396</v>
      </c>
      <c r="D142" s="9">
        <v>116</v>
      </c>
      <c r="E142" s="10" t="s">
        <v>84</v>
      </c>
      <c r="F142" s="8">
        <v>5</v>
      </c>
      <c r="G142" s="10"/>
      <c r="H142" s="4" t="s">
        <v>123</v>
      </c>
      <c r="I142" s="4" t="s">
        <v>38</v>
      </c>
      <c r="J142" s="4">
        <v>100</v>
      </c>
      <c r="K142" s="23">
        <v>16</v>
      </c>
      <c r="L142">
        <f>IF(Invoices[[#This Row],[Document Type]]="Return",Invoices[[#This Row],[Unit Price]]*-1,Invoices[[#This Row],[Unit Price]])</f>
        <v>16</v>
      </c>
      <c r="M142" t="str">
        <f>IF(Invoices[[#This Row],[New Unit Price]]&lt;0,"Return",
IF(Invoices[[#This Row],[New Unit Price]]=0,"Free",IF(Invoices[[#This Row],[New Unit Price]]&lt;100,"Basic","Premium")))</f>
        <v>Basic</v>
      </c>
      <c r="N142">
        <f>VLOOKUP(Invoices[[#This Row],[Part  '#]],Products[],4,0)</f>
        <v>4.58</v>
      </c>
      <c r="O142" t="str">
        <f>VLOOKUP(Invoices[[#This Row],[Customer Account]],Customers[],4,0)</f>
        <v>Automotive</v>
      </c>
      <c r="P142" t="str">
        <f>VLOOKUP(Invoices[[#This Row],[Customer Account]],Customers[],3,0)</f>
        <v>Tennessee</v>
      </c>
      <c r="Q142" t="str">
        <f>VLOOKUP(Invoices[[#This Row],[Part  '#]],Products[],3,0)</f>
        <v>Consumables</v>
      </c>
      <c r="R142" s="25">
        <f>Invoices[[#This Row],[Quantity]]*Invoices[[#This Row],[Unit Cost]]</f>
        <v>458</v>
      </c>
      <c r="S142" s="25">
        <f>Invoices[[#This Row],[Quantity]]*Invoices[[#This Row],[New Unit Price]]</f>
        <v>1600</v>
      </c>
      <c r="T142" s="25">
        <f>Invoices[[#This Row],[Revenue]]-Invoices[[#This Row],[Cost]]</f>
        <v>1142</v>
      </c>
      <c r="U142" s="25" t="str">
        <f>TEXT(Invoices[[#This Row],[Date]],"MMM")</f>
        <v>May</v>
      </c>
      <c r="V142" s="29">
        <f>CHOOSE(MONTH(Invoices[[#This Row],[Date]]),1,1,1,2,2,2,3,3,3,4,4,4)</f>
        <v>2</v>
      </c>
      <c r="W142" s="30">
        <f>IFERROR(Invoices[[#This Row],[Profit]]/Invoices[[#This Row],[Revenue]],0)</f>
        <v>0.71375</v>
      </c>
    </row>
    <row r="143" spans="1:23" x14ac:dyDescent="0.3">
      <c r="A143" s="19" t="s">
        <v>5</v>
      </c>
      <c r="B143" s="4">
        <v>22844</v>
      </c>
      <c r="C143" s="15">
        <v>41397</v>
      </c>
      <c r="D143" s="9">
        <v>108</v>
      </c>
      <c r="E143" s="10" t="s">
        <v>73</v>
      </c>
      <c r="F143" s="8">
        <v>1</v>
      </c>
      <c r="G143" s="10"/>
      <c r="H143" s="4" t="s">
        <v>104</v>
      </c>
      <c r="I143" s="4" t="s">
        <v>17</v>
      </c>
      <c r="J143" s="4">
        <v>21</v>
      </c>
      <c r="K143" s="23">
        <v>2400</v>
      </c>
      <c r="L143">
        <f>IF(Invoices[[#This Row],[Document Type]]="Return",Invoices[[#This Row],[Unit Price]]*-1,Invoices[[#This Row],[Unit Price]])</f>
        <v>2400</v>
      </c>
      <c r="M143" t="str">
        <f>IF(Invoices[[#This Row],[New Unit Price]]&lt;0,"Return",
IF(Invoices[[#This Row],[New Unit Price]]=0,"Free",IF(Invoices[[#This Row],[New Unit Price]]&lt;100,"Basic","Premium")))</f>
        <v>Premium</v>
      </c>
      <c r="N143">
        <f>VLOOKUP(Invoices[[#This Row],[Part  '#]],Products[],4,0)</f>
        <v>1320.2</v>
      </c>
      <c r="O143" t="str">
        <f>VLOOKUP(Invoices[[#This Row],[Customer Account]],Customers[],4,0)</f>
        <v>Financial</v>
      </c>
      <c r="P143" t="str">
        <f>VLOOKUP(Invoices[[#This Row],[Customer Account]],Customers[],3,0)</f>
        <v>Florida</v>
      </c>
      <c r="Q143" t="str">
        <f>VLOOKUP(Invoices[[#This Row],[Part  '#]],Products[],3,0)</f>
        <v>Product</v>
      </c>
      <c r="R143" s="25">
        <f>Invoices[[#This Row],[Quantity]]*Invoices[[#This Row],[Unit Cost]]</f>
        <v>27724.2</v>
      </c>
      <c r="S143" s="25">
        <f>Invoices[[#This Row],[Quantity]]*Invoices[[#This Row],[New Unit Price]]</f>
        <v>50400</v>
      </c>
      <c r="T143" s="25">
        <f>Invoices[[#This Row],[Revenue]]-Invoices[[#This Row],[Cost]]</f>
        <v>22675.8</v>
      </c>
      <c r="U143" s="25" t="str">
        <f>TEXT(Invoices[[#This Row],[Date]],"MMM")</f>
        <v>May</v>
      </c>
      <c r="V143" s="29">
        <f>CHOOSE(MONTH(Invoices[[#This Row],[Date]]),1,1,1,2,2,2,3,3,3,4,4,4)</f>
        <v>2</v>
      </c>
      <c r="W143" s="30">
        <f>IFERROR(Invoices[[#This Row],[Profit]]/Invoices[[#This Row],[Revenue]],0)</f>
        <v>0.44991666666666663</v>
      </c>
    </row>
    <row r="144" spans="1:23" x14ac:dyDescent="0.3">
      <c r="A144" s="19" t="s">
        <v>5</v>
      </c>
      <c r="B144" s="4">
        <v>22844</v>
      </c>
      <c r="C144" s="15">
        <v>41397</v>
      </c>
      <c r="D144" s="9">
        <v>108</v>
      </c>
      <c r="E144" s="10" t="s">
        <v>73</v>
      </c>
      <c r="F144" s="8">
        <v>2</v>
      </c>
      <c r="G144" s="10"/>
      <c r="H144" s="4" t="s">
        <v>114</v>
      </c>
      <c r="I144" s="4" t="s">
        <v>29</v>
      </c>
      <c r="J144" s="4">
        <v>21</v>
      </c>
      <c r="K144" s="23">
        <v>0</v>
      </c>
      <c r="L144">
        <f>IF(Invoices[[#This Row],[Document Type]]="Return",Invoices[[#This Row],[Unit Price]]*-1,Invoices[[#This Row],[Unit Price]])</f>
        <v>0</v>
      </c>
      <c r="M144" t="str">
        <f>IF(Invoices[[#This Row],[New Unit Price]]&lt;0,"Return",
IF(Invoices[[#This Row],[New Unit Price]]=0,"Free",IF(Invoices[[#This Row],[New Unit Price]]&lt;100,"Basic","Premium")))</f>
        <v>Free</v>
      </c>
      <c r="N144">
        <f>VLOOKUP(Invoices[[#This Row],[Part  '#]],Products[],4,0)</f>
        <v>8.1</v>
      </c>
      <c r="O144" t="str">
        <f>VLOOKUP(Invoices[[#This Row],[Customer Account]],Customers[],4,0)</f>
        <v>Financial</v>
      </c>
      <c r="P144" t="str">
        <f>VLOOKUP(Invoices[[#This Row],[Customer Account]],Customers[],3,0)</f>
        <v>Florida</v>
      </c>
      <c r="Q144" t="str">
        <f>VLOOKUP(Invoices[[#This Row],[Part  '#]],Products[],3,0)</f>
        <v>Accessories</v>
      </c>
      <c r="R144" s="25">
        <f>Invoices[[#This Row],[Quantity]]*Invoices[[#This Row],[Unit Cost]]</f>
        <v>170.1</v>
      </c>
      <c r="S144" s="25">
        <f>Invoices[[#This Row],[Quantity]]*Invoices[[#This Row],[New Unit Price]]</f>
        <v>0</v>
      </c>
      <c r="T144" s="25">
        <f>Invoices[[#This Row],[Revenue]]-Invoices[[#This Row],[Cost]]</f>
        <v>-170.1</v>
      </c>
      <c r="U144" s="25" t="str">
        <f>TEXT(Invoices[[#This Row],[Date]],"MMM")</f>
        <v>May</v>
      </c>
      <c r="V144" s="29">
        <f>CHOOSE(MONTH(Invoices[[#This Row],[Date]]),1,1,1,2,2,2,3,3,3,4,4,4)</f>
        <v>2</v>
      </c>
      <c r="W144" s="30">
        <f>IFERROR(Invoices[[#This Row],[Profit]]/Invoices[[#This Row],[Revenue]],0)</f>
        <v>0</v>
      </c>
    </row>
    <row r="145" spans="1:23" x14ac:dyDescent="0.3">
      <c r="A145" s="19" t="s">
        <v>5</v>
      </c>
      <c r="B145" s="4">
        <v>22844</v>
      </c>
      <c r="C145" s="15">
        <v>41397</v>
      </c>
      <c r="D145" s="9">
        <v>108</v>
      </c>
      <c r="E145" s="10" t="s">
        <v>73</v>
      </c>
      <c r="F145" s="8">
        <v>3</v>
      </c>
      <c r="G145" s="10"/>
      <c r="H145" s="4" t="s">
        <v>117</v>
      </c>
      <c r="I145" s="4" t="s">
        <v>33</v>
      </c>
      <c r="J145" s="4">
        <v>21</v>
      </c>
      <c r="K145" s="23">
        <v>0</v>
      </c>
      <c r="L145">
        <f>IF(Invoices[[#This Row],[Document Type]]="Return",Invoices[[#This Row],[Unit Price]]*-1,Invoices[[#This Row],[Unit Price]])</f>
        <v>0</v>
      </c>
      <c r="M145" t="str">
        <f>IF(Invoices[[#This Row],[New Unit Price]]&lt;0,"Return",
IF(Invoices[[#This Row],[New Unit Price]]=0,"Free",IF(Invoices[[#This Row],[New Unit Price]]&lt;100,"Basic","Premium")))</f>
        <v>Free</v>
      </c>
      <c r="N145">
        <f>VLOOKUP(Invoices[[#This Row],[Part  '#]],Products[],4,0)</f>
        <v>11.59</v>
      </c>
      <c r="O145" t="str">
        <f>VLOOKUP(Invoices[[#This Row],[Customer Account]],Customers[],4,0)</f>
        <v>Financial</v>
      </c>
      <c r="P145" t="str">
        <f>VLOOKUP(Invoices[[#This Row],[Customer Account]],Customers[],3,0)</f>
        <v>Florida</v>
      </c>
      <c r="Q145" t="str">
        <f>VLOOKUP(Invoices[[#This Row],[Part  '#]],Products[],3,0)</f>
        <v>Accessories</v>
      </c>
      <c r="R145" s="25">
        <f>Invoices[[#This Row],[Quantity]]*Invoices[[#This Row],[Unit Cost]]</f>
        <v>243.39</v>
      </c>
      <c r="S145" s="25">
        <f>Invoices[[#This Row],[Quantity]]*Invoices[[#This Row],[New Unit Price]]</f>
        <v>0</v>
      </c>
      <c r="T145" s="25">
        <f>Invoices[[#This Row],[Revenue]]-Invoices[[#This Row],[Cost]]</f>
        <v>-243.39</v>
      </c>
      <c r="U145" s="25" t="str">
        <f>TEXT(Invoices[[#This Row],[Date]],"MMM")</f>
        <v>May</v>
      </c>
      <c r="V145" s="29">
        <f>CHOOSE(MONTH(Invoices[[#This Row],[Date]]),1,1,1,2,2,2,3,3,3,4,4,4)</f>
        <v>2</v>
      </c>
      <c r="W145" s="30">
        <f>IFERROR(Invoices[[#This Row],[Profit]]/Invoices[[#This Row],[Revenue]],0)</f>
        <v>0</v>
      </c>
    </row>
    <row r="146" spans="1:23" x14ac:dyDescent="0.3">
      <c r="A146" s="19" t="s">
        <v>5</v>
      </c>
      <c r="B146" s="4">
        <v>22844</v>
      </c>
      <c r="C146" s="15">
        <v>41397</v>
      </c>
      <c r="D146" s="9">
        <v>108</v>
      </c>
      <c r="E146" s="10" t="s">
        <v>73</v>
      </c>
      <c r="F146" s="8">
        <v>4</v>
      </c>
      <c r="G146" s="10"/>
      <c r="H146" s="4" t="s">
        <v>119</v>
      </c>
      <c r="I146" s="4" t="s">
        <v>43</v>
      </c>
      <c r="J146" s="4">
        <v>21</v>
      </c>
      <c r="K146" s="23">
        <v>0</v>
      </c>
      <c r="L146">
        <f>IF(Invoices[[#This Row],[Document Type]]="Return",Invoices[[#This Row],[Unit Price]]*-1,Invoices[[#This Row],[Unit Price]])</f>
        <v>0</v>
      </c>
      <c r="M146" t="str">
        <f>IF(Invoices[[#This Row],[New Unit Price]]&lt;0,"Return",
IF(Invoices[[#This Row],[New Unit Price]]=0,"Free",IF(Invoices[[#This Row],[New Unit Price]]&lt;100,"Basic","Premium")))</f>
        <v>Free</v>
      </c>
      <c r="N146">
        <f>VLOOKUP(Invoices[[#This Row],[Part  '#]],Products[],4,0)</f>
        <v>17.22</v>
      </c>
      <c r="O146" t="str">
        <f>VLOOKUP(Invoices[[#This Row],[Customer Account]],Customers[],4,0)</f>
        <v>Financial</v>
      </c>
      <c r="P146" t="str">
        <f>VLOOKUP(Invoices[[#This Row],[Customer Account]],Customers[],3,0)</f>
        <v>Florida</v>
      </c>
      <c r="Q146" t="str">
        <f>VLOOKUP(Invoices[[#This Row],[Part  '#]],Products[],3,0)</f>
        <v>Accessories</v>
      </c>
      <c r="R146" s="25">
        <f>Invoices[[#This Row],[Quantity]]*Invoices[[#This Row],[Unit Cost]]</f>
        <v>361.62</v>
      </c>
      <c r="S146" s="25">
        <f>Invoices[[#This Row],[Quantity]]*Invoices[[#This Row],[New Unit Price]]</f>
        <v>0</v>
      </c>
      <c r="T146" s="25">
        <f>Invoices[[#This Row],[Revenue]]-Invoices[[#This Row],[Cost]]</f>
        <v>-361.62</v>
      </c>
      <c r="U146" s="25" t="str">
        <f>TEXT(Invoices[[#This Row],[Date]],"MMM")</f>
        <v>May</v>
      </c>
      <c r="V146" s="29">
        <f>CHOOSE(MONTH(Invoices[[#This Row],[Date]]),1,1,1,2,2,2,3,3,3,4,4,4)</f>
        <v>2</v>
      </c>
      <c r="W146" s="30">
        <f>IFERROR(Invoices[[#This Row],[Profit]]/Invoices[[#This Row],[Revenue]],0)</f>
        <v>0</v>
      </c>
    </row>
    <row r="147" spans="1:23" x14ac:dyDescent="0.3">
      <c r="A147" s="19" t="s">
        <v>5</v>
      </c>
      <c r="B147" s="4">
        <v>22844</v>
      </c>
      <c r="C147" s="15">
        <v>41397</v>
      </c>
      <c r="D147" s="9">
        <v>108</v>
      </c>
      <c r="E147" s="10" t="s">
        <v>73</v>
      </c>
      <c r="F147" s="8">
        <v>5</v>
      </c>
      <c r="G147" s="10"/>
      <c r="H147" s="4" t="s">
        <v>130</v>
      </c>
      <c r="I147" s="4" t="s">
        <v>47</v>
      </c>
      <c r="J147" s="4">
        <v>100</v>
      </c>
      <c r="K147" s="23">
        <v>19.200000000000003</v>
      </c>
      <c r="L147">
        <f>IF(Invoices[[#This Row],[Document Type]]="Return",Invoices[[#This Row],[Unit Price]]*-1,Invoices[[#This Row],[Unit Price]])</f>
        <v>19.200000000000003</v>
      </c>
      <c r="M147" t="str">
        <f>IF(Invoices[[#This Row],[New Unit Price]]&lt;0,"Return",
IF(Invoices[[#This Row],[New Unit Price]]=0,"Free",IF(Invoices[[#This Row],[New Unit Price]]&lt;100,"Basic","Premium")))</f>
        <v>Basic</v>
      </c>
      <c r="N147">
        <f>VLOOKUP(Invoices[[#This Row],[Part  '#]],Products[],4,0)</f>
        <v>7.09</v>
      </c>
      <c r="O147" t="str">
        <f>VLOOKUP(Invoices[[#This Row],[Customer Account]],Customers[],4,0)</f>
        <v>Financial</v>
      </c>
      <c r="P147" t="str">
        <f>VLOOKUP(Invoices[[#This Row],[Customer Account]],Customers[],3,0)</f>
        <v>Florida</v>
      </c>
      <c r="Q147" t="str">
        <f>VLOOKUP(Invoices[[#This Row],[Part  '#]],Products[],3,0)</f>
        <v>Consumables</v>
      </c>
      <c r="R147" s="25">
        <f>Invoices[[#This Row],[Quantity]]*Invoices[[#This Row],[Unit Cost]]</f>
        <v>709</v>
      </c>
      <c r="S147" s="25">
        <f>Invoices[[#This Row],[Quantity]]*Invoices[[#This Row],[New Unit Price]]</f>
        <v>1920.0000000000002</v>
      </c>
      <c r="T147" s="25">
        <f>Invoices[[#This Row],[Revenue]]-Invoices[[#This Row],[Cost]]</f>
        <v>1211.0000000000002</v>
      </c>
      <c r="U147" s="25" t="str">
        <f>TEXT(Invoices[[#This Row],[Date]],"MMM")</f>
        <v>May</v>
      </c>
      <c r="V147" s="29">
        <f>CHOOSE(MONTH(Invoices[[#This Row],[Date]]),1,1,1,2,2,2,3,3,3,4,4,4)</f>
        <v>2</v>
      </c>
      <c r="W147" s="30">
        <f>IFERROR(Invoices[[#This Row],[Profit]]/Invoices[[#This Row],[Revenue]],0)</f>
        <v>0.63072916666666667</v>
      </c>
    </row>
    <row r="148" spans="1:23" x14ac:dyDescent="0.3">
      <c r="A148" s="19" t="s">
        <v>5</v>
      </c>
      <c r="B148" s="4">
        <v>22845</v>
      </c>
      <c r="C148" s="15">
        <v>41401</v>
      </c>
      <c r="D148" s="9">
        <v>105</v>
      </c>
      <c r="E148" s="10" t="s">
        <v>67</v>
      </c>
      <c r="F148" s="8">
        <v>1</v>
      </c>
      <c r="G148" s="10"/>
      <c r="H148" s="4" t="s">
        <v>92</v>
      </c>
      <c r="I148" s="4" t="s">
        <v>10</v>
      </c>
      <c r="J148" s="4">
        <v>50</v>
      </c>
      <c r="K148" s="23">
        <v>1500</v>
      </c>
      <c r="L148">
        <f>IF(Invoices[[#This Row],[Document Type]]="Return",Invoices[[#This Row],[Unit Price]]*-1,Invoices[[#This Row],[Unit Price]])</f>
        <v>1500</v>
      </c>
      <c r="M148" t="str">
        <f>IF(Invoices[[#This Row],[New Unit Price]]&lt;0,"Return",
IF(Invoices[[#This Row],[New Unit Price]]=0,"Free",IF(Invoices[[#This Row],[New Unit Price]]&lt;100,"Basic","Premium")))</f>
        <v>Premium</v>
      </c>
      <c r="N148">
        <f>VLOOKUP(Invoices[[#This Row],[Part  '#]],Products[],4,0)</f>
        <v>899.1</v>
      </c>
      <c r="O148" t="str">
        <f>VLOOKUP(Invoices[[#This Row],[Customer Account]],Customers[],4,0)</f>
        <v>Automotive</v>
      </c>
      <c r="P148" t="str">
        <f>VLOOKUP(Invoices[[#This Row],[Customer Account]],Customers[],3,0)</f>
        <v>South Carolina</v>
      </c>
      <c r="Q148" t="str">
        <f>VLOOKUP(Invoices[[#This Row],[Part  '#]],Products[],3,0)</f>
        <v>Product</v>
      </c>
      <c r="R148" s="25">
        <f>Invoices[[#This Row],[Quantity]]*Invoices[[#This Row],[Unit Cost]]</f>
        <v>44955</v>
      </c>
      <c r="S148" s="25">
        <f>Invoices[[#This Row],[Quantity]]*Invoices[[#This Row],[New Unit Price]]</f>
        <v>75000</v>
      </c>
      <c r="T148" s="25">
        <f>Invoices[[#This Row],[Revenue]]-Invoices[[#This Row],[Cost]]</f>
        <v>30045</v>
      </c>
      <c r="U148" s="25" t="str">
        <f>TEXT(Invoices[[#This Row],[Date]],"MMM")</f>
        <v>May</v>
      </c>
      <c r="V148" s="29">
        <f>CHOOSE(MONTH(Invoices[[#This Row],[Date]]),1,1,1,2,2,2,3,3,3,4,4,4)</f>
        <v>2</v>
      </c>
      <c r="W148" s="30">
        <f>IFERROR(Invoices[[#This Row],[Profit]]/Invoices[[#This Row],[Revenue]],0)</f>
        <v>0.40060000000000001</v>
      </c>
    </row>
    <row r="149" spans="1:23" x14ac:dyDescent="0.3">
      <c r="A149" s="19" t="s">
        <v>5</v>
      </c>
      <c r="B149" s="4">
        <v>22845</v>
      </c>
      <c r="C149" s="15">
        <v>41401</v>
      </c>
      <c r="D149" s="9">
        <v>105</v>
      </c>
      <c r="E149" s="10" t="s">
        <v>67</v>
      </c>
      <c r="F149" s="8">
        <v>2</v>
      </c>
      <c r="G149" s="10"/>
      <c r="H149" s="4" t="s">
        <v>109</v>
      </c>
      <c r="I149" s="4" t="s">
        <v>24</v>
      </c>
      <c r="J149" s="4">
        <v>50</v>
      </c>
      <c r="K149" s="23">
        <v>0</v>
      </c>
      <c r="L149">
        <f>IF(Invoices[[#This Row],[Document Type]]="Return",Invoices[[#This Row],[Unit Price]]*-1,Invoices[[#This Row],[Unit Price]])</f>
        <v>0</v>
      </c>
      <c r="M149" t="str">
        <f>IF(Invoices[[#This Row],[New Unit Price]]&lt;0,"Return",
IF(Invoices[[#This Row],[New Unit Price]]=0,"Free",IF(Invoices[[#This Row],[New Unit Price]]&lt;100,"Basic","Premium")))</f>
        <v>Free</v>
      </c>
      <c r="N149">
        <f>VLOOKUP(Invoices[[#This Row],[Part  '#]],Products[],4,0)</f>
        <v>12.17</v>
      </c>
      <c r="O149" t="str">
        <f>VLOOKUP(Invoices[[#This Row],[Customer Account]],Customers[],4,0)</f>
        <v>Automotive</v>
      </c>
      <c r="P149" t="str">
        <f>VLOOKUP(Invoices[[#This Row],[Customer Account]],Customers[],3,0)</f>
        <v>South Carolina</v>
      </c>
      <c r="Q149" t="str">
        <f>VLOOKUP(Invoices[[#This Row],[Part  '#]],Products[],3,0)</f>
        <v>Accessories</v>
      </c>
      <c r="R149" s="25">
        <f>Invoices[[#This Row],[Quantity]]*Invoices[[#This Row],[Unit Cost]]</f>
        <v>608.5</v>
      </c>
      <c r="S149" s="25">
        <f>Invoices[[#This Row],[Quantity]]*Invoices[[#This Row],[New Unit Price]]</f>
        <v>0</v>
      </c>
      <c r="T149" s="25">
        <f>Invoices[[#This Row],[Revenue]]-Invoices[[#This Row],[Cost]]</f>
        <v>-608.5</v>
      </c>
      <c r="U149" s="25" t="str">
        <f>TEXT(Invoices[[#This Row],[Date]],"MMM")</f>
        <v>May</v>
      </c>
      <c r="V149" s="29">
        <f>CHOOSE(MONTH(Invoices[[#This Row],[Date]]),1,1,1,2,2,2,3,3,3,4,4,4)</f>
        <v>2</v>
      </c>
      <c r="W149" s="30">
        <f>IFERROR(Invoices[[#This Row],[Profit]]/Invoices[[#This Row],[Revenue]],0)</f>
        <v>0</v>
      </c>
    </row>
    <row r="150" spans="1:23" x14ac:dyDescent="0.3">
      <c r="A150" s="19" t="s">
        <v>5</v>
      </c>
      <c r="B150" s="4">
        <v>22845</v>
      </c>
      <c r="C150" s="15">
        <v>41401</v>
      </c>
      <c r="D150" s="9">
        <v>105</v>
      </c>
      <c r="E150" s="10" t="s">
        <v>67</v>
      </c>
      <c r="F150" s="8">
        <v>3</v>
      </c>
      <c r="G150" s="10"/>
      <c r="H150" s="4" t="s">
        <v>116</v>
      </c>
      <c r="I150" s="4" t="s">
        <v>32</v>
      </c>
      <c r="J150" s="4">
        <v>50</v>
      </c>
      <c r="K150" s="23">
        <v>0</v>
      </c>
      <c r="L150">
        <f>IF(Invoices[[#This Row],[Document Type]]="Return",Invoices[[#This Row],[Unit Price]]*-1,Invoices[[#This Row],[Unit Price]])</f>
        <v>0</v>
      </c>
      <c r="M150" t="str">
        <f>IF(Invoices[[#This Row],[New Unit Price]]&lt;0,"Return",
IF(Invoices[[#This Row],[New Unit Price]]=0,"Free",IF(Invoices[[#This Row],[New Unit Price]]&lt;100,"Basic","Premium")))</f>
        <v>Free</v>
      </c>
      <c r="N150">
        <f>VLOOKUP(Invoices[[#This Row],[Part  '#]],Products[],4,0)</f>
        <v>8.15</v>
      </c>
      <c r="O150" t="str">
        <f>VLOOKUP(Invoices[[#This Row],[Customer Account]],Customers[],4,0)</f>
        <v>Automotive</v>
      </c>
      <c r="P150" t="str">
        <f>VLOOKUP(Invoices[[#This Row],[Customer Account]],Customers[],3,0)</f>
        <v>South Carolina</v>
      </c>
      <c r="Q150" t="str">
        <f>VLOOKUP(Invoices[[#This Row],[Part  '#]],Products[],3,0)</f>
        <v>Accessories</v>
      </c>
      <c r="R150" s="25">
        <f>Invoices[[#This Row],[Quantity]]*Invoices[[#This Row],[Unit Cost]]</f>
        <v>407.5</v>
      </c>
      <c r="S150" s="25">
        <f>Invoices[[#This Row],[Quantity]]*Invoices[[#This Row],[New Unit Price]]</f>
        <v>0</v>
      </c>
      <c r="T150" s="25">
        <f>Invoices[[#This Row],[Revenue]]-Invoices[[#This Row],[Cost]]</f>
        <v>-407.5</v>
      </c>
      <c r="U150" s="25" t="str">
        <f>TEXT(Invoices[[#This Row],[Date]],"MMM")</f>
        <v>May</v>
      </c>
      <c r="V150" s="29">
        <f>CHOOSE(MONTH(Invoices[[#This Row],[Date]]),1,1,1,2,2,2,3,3,3,4,4,4)</f>
        <v>2</v>
      </c>
      <c r="W150" s="30">
        <f>IFERROR(Invoices[[#This Row],[Profit]]/Invoices[[#This Row],[Revenue]],0)</f>
        <v>0</v>
      </c>
    </row>
    <row r="151" spans="1:23" x14ac:dyDescent="0.3">
      <c r="A151" s="19" t="s">
        <v>5</v>
      </c>
      <c r="B151" s="4">
        <v>22845</v>
      </c>
      <c r="C151" s="15">
        <v>41401</v>
      </c>
      <c r="D151" s="9">
        <v>105</v>
      </c>
      <c r="E151" s="10" t="s">
        <v>67</v>
      </c>
      <c r="F151" s="8">
        <v>4</v>
      </c>
      <c r="G151" s="10"/>
      <c r="H151" s="4" t="s">
        <v>118</v>
      </c>
      <c r="I151" s="4" t="s">
        <v>42</v>
      </c>
      <c r="J151" s="4">
        <v>50</v>
      </c>
      <c r="K151" s="23">
        <v>0</v>
      </c>
      <c r="L151">
        <f>IF(Invoices[[#This Row],[Document Type]]="Return",Invoices[[#This Row],[Unit Price]]*-1,Invoices[[#This Row],[Unit Price]])</f>
        <v>0</v>
      </c>
      <c r="M151" t="str">
        <f>IF(Invoices[[#This Row],[New Unit Price]]&lt;0,"Return",
IF(Invoices[[#This Row],[New Unit Price]]=0,"Free",IF(Invoices[[#This Row],[New Unit Price]]&lt;100,"Basic","Premium")))</f>
        <v>Free</v>
      </c>
      <c r="N151">
        <f>VLOOKUP(Invoices[[#This Row],[Part  '#]],Products[],4,0)</f>
        <v>12.33</v>
      </c>
      <c r="O151" t="str">
        <f>VLOOKUP(Invoices[[#This Row],[Customer Account]],Customers[],4,0)</f>
        <v>Automotive</v>
      </c>
      <c r="P151" t="str">
        <f>VLOOKUP(Invoices[[#This Row],[Customer Account]],Customers[],3,0)</f>
        <v>South Carolina</v>
      </c>
      <c r="Q151" t="str">
        <f>VLOOKUP(Invoices[[#This Row],[Part  '#]],Products[],3,0)</f>
        <v>Accessories</v>
      </c>
      <c r="R151" s="25">
        <f>Invoices[[#This Row],[Quantity]]*Invoices[[#This Row],[Unit Cost]]</f>
        <v>616.5</v>
      </c>
      <c r="S151" s="25">
        <f>Invoices[[#This Row],[Quantity]]*Invoices[[#This Row],[New Unit Price]]</f>
        <v>0</v>
      </c>
      <c r="T151" s="25">
        <f>Invoices[[#This Row],[Revenue]]-Invoices[[#This Row],[Cost]]</f>
        <v>-616.5</v>
      </c>
      <c r="U151" s="25" t="str">
        <f>TEXT(Invoices[[#This Row],[Date]],"MMM")</f>
        <v>May</v>
      </c>
      <c r="V151" s="29">
        <f>CHOOSE(MONTH(Invoices[[#This Row],[Date]]),1,1,1,2,2,2,3,3,3,4,4,4)</f>
        <v>2</v>
      </c>
      <c r="W151" s="30">
        <f>IFERROR(Invoices[[#This Row],[Profit]]/Invoices[[#This Row],[Revenue]],0)</f>
        <v>0</v>
      </c>
    </row>
    <row r="152" spans="1:23" x14ac:dyDescent="0.3">
      <c r="A152" s="19" t="s">
        <v>5</v>
      </c>
      <c r="B152" s="4">
        <v>22845</v>
      </c>
      <c r="C152" s="15">
        <v>41401</v>
      </c>
      <c r="D152" s="9">
        <v>105</v>
      </c>
      <c r="E152" s="10" t="s">
        <v>67</v>
      </c>
      <c r="F152" s="8">
        <v>5</v>
      </c>
      <c r="G152" s="10"/>
      <c r="H152" s="4" t="s">
        <v>120</v>
      </c>
      <c r="I152" s="4" t="s">
        <v>54</v>
      </c>
      <c r="J152" s="4">
        <v>50</v>
      </c>
      <c r="K152" s="23">
        <v>0</v>
      </c>
      <c r="L152">
        <f>IF(Invoices[[#This Row],[Document Type]]="Return",Invoices[[#This Row],[Unit Price]]*-1,Invoices[[#This Row],[Unit Price]])</f>
        <v>0</v>
      </c>
      <c r="M152" t="str">
        <f>IF(Invoices[[#This Row],[New Unit Price]]&lt;0,"Return",
IF(Invoices[[#This Row],[New Unit Price]]=0,"Free",IF(Invoices[[#This Row],[New Unit Price]]&lt;100,"Basic","Premium")))</f>
        <v>Free</v>
      </c>
      <c r="N152">
        <f>VLOOKUP(Invoices[[#This Row],[Part  '#]],Products[],4,0)</f>
        <v>89.7</v>
      </c>
      <c r="O152" t="str">
        <f>VLOOKUP(Invoices[[#This Row],[Customer Account]],Customers[],4,0)</f>
        <v>Automotive</v>
      </c>
      <c r="P152" t="str">
        <f>VLOOKUP(Invoices[[#This Row],[Customer Account]],Customers[],3,0)</f>
        <v>South Carolina</v>
      </c>
      <c r="Q152" t="str">
        <f>VLOOKUP(Invoices[[#This Row],[Part  '#]],Products[],3,0)</f>
        <v>Accessories</v>
      </c>
      <c r="R152" s="25">
        <f>Invoices[[#This Row],[Quantity]]*Invoices[[#This Row],[Unit Cost]]</f>
        <v>4485</v>
      </c>
      <c r="S152" s="25">
        <f>Invoices[[#This Row],[Quantity]]*Invoices[[#This Row],[New Unit Price]]</f>
        <v>0</v>
      </c>
      <c r="T152" s="25">
        <f>Invoices[[#This Row],[Revenue]]-Invoices[[#This Row],[Cost]]</f>
        <v>-4485</v>
      </c>
      <c r="U152" s="25" t="str">
        <f>TEXT(Invoices[[#This Row],[Date]],"MMM")</f>
        <v>May</v>
      </c>
      <c r="V152" s="29">
        <f>CHOOSE(MONTH(Invoices[[#This Row],[Date]]),1,1,1,2,2,2,3,3,3,4,4,4)</f>
        <v>2</v>
      </c>
      <c r="W152" s="30">
        <f>IFERROR(Invoices[[#This Row],[Profit]]/Invoices[[#This Row],[Revenue]],0)</f>
        <v>0</v>
      </c>
    </row>
    <row r="153" spans="1:23" x14ac:dyDescent="0.3">
      <c r="A153" s="19" t="s">
        <v>5</v>
      </c>
      <c r="B153" s="4">
        <v>22845</v>
      </c>
      <c r="C153" s="15">
        <v>41401</v>
      </c>
      <c r="D153" s="9">
        <v>105</v>
      </c>
      <c r="E153" s="10" t="s">
        <v>67</v>
      </c>
      <c r="F153" s="8">
        <v>6</v>
      </c>
      <c r="G153" s="10"/>
      <c r="H153" s="4" t="s">
        <v>123</v>
      </c>
      <c r="I153" s="4" t="s">
        <v>38</v>
      </c>
      <c r="J153" s="4">
        <v>100</v>
      </c>
      <c r="K153" s="23">
        <v>16</v>
      </c>
      <c r="L153">
        <f>IF(Invoices[[#This Row],[Document Type]]="Return",Invoices[[#This Row],[Unit Price]]*-1,Invoices[[#This Row],[Unit Price]])</f>
        <v>16</v>
      </c>
      <c r="M153" t="str">
        <f>IF(Invoices[[#This Row],[New Unit Price]]&lt;0,"Return",
IF(Invoices[[#This Row],[New Unit Price]]=0,"Free",IF(Invoices[[#This Row],[New Unit Price]]&lt;100,"Basic","Premium")))</f>
        <v>Basic</v>
      </c>
      <c r="N153">
        <f>VLOOKUP(Invoices[[#This Row],[Part  '#]],Products[],4,0)</f>
        <v>4.58</v>
      </c>
      <c r="O153" t="str">
        <f>VLOOKUP(Invoices[[#This Row],[Customer Account]],Customers[],4,0)</f>
        <v>Automotive</v>
      </c>
      <c r="P153" t="str">
        <f>VLOOKUP(Invoices[[#This Row],[Customer Account]],Customers[],3,0)</f>
        <v>South Carolina</v>
      </c>
      <c r="Q153" t="str">
        <f>VLOOKUP(Invoices[[#This Row],[Part  '#]],Products[],3,0)</f>
        <v>Consumables</v>
      </c>
      <c r="R153" s="25">
        <f>Invoices[[#This Row],[Quantity]]*Invoices[[#This Row],[Unit Cost]]</f>
        <v>458</v>
      </c>
      <c r="S153" s="25">
        <f>Invoices[[#This Row],[Quantity]]*Invoices[[#This Row],[New Unit Price]]</f>
        <v>1600</v>
      </c>
      <c r="T153" s="25">
        <f>Invoices[[#This Row],[Revenue]]-Invoices[[#This Row],[Cost]]</f>
        <v>1142</v>
      </c>
      <c r="U153" s="25" t="str">
        <f>TEXT(Invoices[[#This Row],[Date]],"MMM")</f>
        <v>May</v>
      </c>
      <c r="V153" s="29">
        <f>CHOOSE(MONTH(Invoices[[#This Row],[Date]]),1,1,1,2,2,2,3,3,3,4,4,4)</f>
        <v>2</v>
      </c>
      <c r="W153" s="30">
        <f>IFERROR(Invoices[[#This Row],[Profit]]/Invoices[[#This Row],[Revenue]],0)</f>
        <v>0.71375</v>
      </c>
    </row>
    <row r="154" spans="1:23" x14ac:dyDescent="0.3">
      <c r="A154" s="19" t="s">
        <v>5</v>
      </c>
      <c r="B154" s="4">
        <v>22846</v>
      </c>
      <c r="C154" s="15">
        <v>41411</v>
      </c>
      <c r="D154" s="9">
        <v>114</v>
      </c>
      <c r="E154" s="10" t="s">
        <v>82</v>
      </c>
      <c r="F154" s="8">
        <v>1</v>
      </c>
      <c r="G154" s="10"/>
      <c r="H154" s="4" t="s">
        <v>108</v>
      </c>
      <c r="I154" s="4" t="s">
        <v>23</v>
      </c>
      <c r="J154" s="4">
        <v>5</v>
      </c>
      <c r="K154" s="23">
        <v>2700</v>
      </c>
      <c r="L154">
        <f>IF(Invoices[[#This Row],[Document Type]]="Return",Invoices[[#This Row],[Unit Price]]*-1,Invoices[[#This Row],[Unit Price]])</f>
        <v>2700</v>
      </c>
      <c r="M154" t="str">
        <f>IF(Invoices[[#This Row],[New Unit Price]]&lt;0,"Return",
IF(Invoices[[#This Row],[New Unit Price]]=0,"Free",IF(Invoices[[#This Row],[New Unit Price]]&lt;100,"Basic","Premium")))</f>
        <v>Premium</v>
      </c>
      <c r="N154">
        <f>VLOOKUP(Invoices[[#This Row],[Part  '#]],Products[],4,0)</f>
        <v>1440.45</v>
      </c>
      <c r="O154" t="str">
        <f>VLOOKUP(Invoices[[#This Row],[Customer Account]],Customers[],4,0)</f>
        <v>Automotive</v>
      </c>
      <c r="P154" t="str">
        <f>VLOOKUP(Invoices[[#This Row],[Customer Account]],Customers[],3,0)</f>
        <v>North Carolina</v>
      </c>
      <c r="Q154" t="str">
        <f>VLOOKUP(Invoices[[#This Row],[Part  '#]],Products[],3,0)</f>
        <v>Product</v>
      </c>
      <c r="R154" s="25">
        <f>Invoices[[#This Row],[Quantity]]*Invoices[[#This Row],[Unit Cost]]</f>
        <v>7202.25</v>
      </c>
      <c r="S154" s="25">
        <f>Invoices[[#This Row],[Quantity]]*Invoices[[#This Row],[New Unit Price]]</f>
        <v>13500</v>
      </c>
      <c r="T154" s="25">
        <f>Invoices[[#This Row],[Revenue]]-Invoices[[#This Row],[Cost]]</f>
        <v>6297.75</v>
      </c>
      <c r="U154" s="25" t="str">
        <f>TEXT(Invoices[[#This Row],[Date]],"MMM")</f>
        <v>May</v>
      </c>
      <c r="V154" s="29">
        <f>CHOOSE(MONTH(Invoices[[#This Row],[Date]]),1,1,1,2,2,2,3,3,3,4,4,4)</f>
        <v>2</v>
      </c>
      <c r="W154" s="30">
        <f>IFERROR(Invoices[[#This Row],[Profit]]/Invoices[[#This Row],[Revenue]],0)</f>
        <v>0.46650000000000003</v>
      </c>
    </row>
    <row r="155" spans="1:23" x14ac:dyDescent="0.3">
      <c r="A155" s="19" t="s">
        <v>5</v>
      </c>
      <c r="B155" s="4">
        <v>22846</v>
      </c>
      <c r="C155" s="15">
        <v>41411</v>
      </c>
      <c r="D155" s="9">
        <v>114</v>
      </c>
      <c r="E155" s="10" t="s">
        <v>82</v>
      </c>
      <c r="F155" s="8">
        <v>2</v>
      </c>
      <c r="G155" s="10"/>
      <c r="H155" s="4" t="s">
        <v>137</v>
      </c>
      <c r="I155" s="4" t="s">
        <v>31</v>
      </c>
      <c r="J155" s="4">
        <v>5</v>
      </c>
      <c r="K155" s="23">
        <v>0</v>
      </c>
      <c r="L155">
        <f>IF(Invoices[[#This Row],[Document Type]]="Return",Invoices[[#This Row],[Unit Price]]*-1,Invoices[[#This Row],[Unit Price]])</f>
        <v>0</v>
      </c>
      <c r="M155" t="str">
        <f>IF(Invoices[[#This Row],[New Unit Price]]&lt;0,"Return",
IF(Invoices[[#This Row],[New Unit Price]]=0,"Free",IF(Invoices[[#This Row],[New Unit Price]]&lt;100,"Basic","Premium")))</f>
        <v>Free</v>
      </c>
      <c r="N155">
        <f>VLOOKUP(Invoices[[#This Row],[Part  '#]],Products[],4,0)</f>
        <v>6.3</v>
      </c>
      <c r="O155" t="str">
        <f>VLOOKUP(Invoices[[#This Row],[Customer Account]],Customers[],4,0)</f>
        <v>Automotive</v>
      </c>
      <c r="P155" t="str">
        <f>VLOOKUP(Invoices[[#This Row],[Customer Account]],Customers[],3,0)</f>
        <v>North Carolina</v>
      </c>
      <c r="Q155" t="str">
        <f>VLOOKUP(Invoices[[#This Row],[Part  '#]],Products[],3,0)</f>
        <v>Accessories</v>
      </c>
      <c r="R155" s="25">
        <f>Invoices[[#This Row],[Quantity]]*Invoices[[#This Row],[Unit Cost]]</f>
        <v>31.5</v>
      </c>
      <c r="S155" s="25">
        <f>Invoices[[#This Row],[Quantity]]*Invoices[[#This Row],[New Unit Price]]</f>
        <v>0</v>
      </c>
      <c r="T155" s="25">
        <f>Invoices[[#This Row],[Revenue]]-Invoices[[#This Row],[Cost]]</f>
        <v>-31.5</v>
      </c>
      <c r="U155" s="25" t="str">
        <f>TEXT(Invoices[[#This Row],[Date]],"MMM")</f>
        <v>May</v>
      </c>
      <c r="V155" s="29">
        <f>CHOOSE(MONTH(Invoices[[#This Row],[Date]]),1,1,1,2,2,2,3,3,3,4,4,4)</f>
        <v>2</v>
      </c>
      <c r="W155" s="30">
        <f>IFERROR(Invoices[[#This Row],[Profit]]/Invoices[[#This Row],[Revenue]],0)</f>
        <v>0</v>
      </c>
    </row>
    <row r="156" spans="1:23" x14ac:dyDescent="0.3">
      <c r="A156" s="19" t="s">
        <v>5</v>
      </c>
      <c r="B156" s="4">
        <v>22846</v>
      </c>
      <c r="C156" s="15">
        <v>41411</v>
      </c>
      <c r="D156" s="9">
        <v>114</v>
      </c>
      <c r="E156" s="10" t="s">
        <v>82</v>
      </c>
      <c r="F156" s="8">
        <v>3</v>
      </c>
      <c r="G156" s="10"/>
      <c r="H156" s="4" t="s">
        <v>117</v>
      </c>
      <c r="I156" s="4" t="s">
        <v>33</v>
      </c>
      <c r="J156" s="4">
        <v>5</v>
      </c>
      <c r="K156" s="23">
        <v>0</v>
      </c>
      <c r="L156">
        <f>IF(Invoices[[#This Row],[Document Type]]="Return",Invoices[[#This Row],[Unit Price]]*-1,Invoices[[#This Row],[Unit Price]])</f>
        <v>0</v>
      </c>
      <c r="M156" t="str">
        <f>IF(Invoices[[#This Row],[New Unit Price]]&lt;0,"Return",
IF(Invoices[[#This Row],[New Unit Price]]=0,"Free",IF(Invoices[[#This Row],[New Unit Price]]&lt;100,"Basic","Premium")))</f>
        <v>Free</v>
      </c>
      <c r="N156">
        <f>VLOOKUP(Invoices[[#This Row],[Part  '#]],Products[],4,0)</f>
        <v>11.59</v>
      </c>
      <c r="O156" t="str">
        <f>VLOOKUP(Invoices[[#This Row],[Customer Account]],Customers[],4,0)</f>
        <v>Automotive</v>
      </c>
      <c r="P156" t="str">
        <f>VLOOKUP(Invoices[[#This Row],[Customer Account]],Customers[],3,0)</f>
        <v>North Carolina</v>
      </c>
      <c r="Q156" t="str">
        <f>VLOOKUP(Invoices[[#This Row],[Part  '#]],Products[],3,0)</f>
        <v>Accessories</v>
      </c>
      <c r="R156" s="25">
        <f>Invoices[[#This Row],[Quantity]]*Invoices[[#This Row],[Unit Cost]]</f>
        <v>57.95</v>
      </c>
      <c r="S156" s="25">
        <f>Invoices[[#This Row],[Quantity]]*Invoices[[#This Row],[New Unit Price]]</f>
        <v>0</v>
      </c>
      <c r="T156" s="25">
        <f>Invoices[[#This Row],[Revenue]]-Invoices[[#This Row],[Cost]]</f>
        <v>-57.95</v>
      </c>
      <c r="U156" s="25" t="str">
        <f>TEXT(Invoices[[#This Row],[Date]],"MMM")</f>
        <v>May</v>
      </c>
      <c r="V156" s="29">
        <f>CHOOSE(MONTH(Invoices[[#This Row],[Date]]),1,1,1,2,2,2,3,3,3,4,4,4)</f>
        <v>2</v>
      </c>
      <c r="W156" s="30">
        <f>IFERROR(Invoices[[#This Row],[Profit]]/Invoices[[#This Row],[Revenue]],0)</f>
        <v>0</v>
      </c>
    </row>
    <row r="157" spans="1:23" x14ac:dyDescent="0.3">
      <c r="A157" s="19" t="s">
        <v>5</v>
      </c>
      <c r="B157" s="4">
        <v>22846</v>
      </c>
      <c r="C157" s="15">
        <v>41411</v>
      </c>
      <c r="D157" s="9">
        <v>114</v>
      </c>
      <c r="E157" s="10" t="s">
        <v>82</v>
      </c>
      <c r="F157" s="8">
        <v>4</v>
      </c>
      <c r="G157" s="10"/>
      <c r="H157" s="4" t="s">
        <v>119</v>
      </c>
      <c r="I157" s="4" t="s">
        <v>43</v>
      </c>
      <c r="J157" s="4">
        <v>5</v>
      </c>
      <c r="K157" s="23">
        <v>0</v>
      </c>
      <c r="L157">
        <f>IF(Invoices[[#This Row],[Document Type]]="Return",Invoices[[#This Row],[Unit Price]]*-1,Invoices[[#This Row],[Unit Price]])</f>
        <v>0</v>
      </c>
      <c r="M157" t="str">
        <f>IF(Invoices[[#This Row],[New Unit Price]]&lt;0,"Return",
IF(Invoices[[#This Row],[New Unit Price]]=0,"Free",IF(Invoices[[#This Row],[New Unit Price]]&lt;100,"Basic","Premium")))</f>
        <v>Free</v>
      </c>
      <c r="N157">
        <f>VLOOKUP(Invoices[[#This Row],[Part  '#]],Products[],4,0)</f>
        <v>17.22</v>
      </c>
      <c r="O157" t="str">
        <f>VLOOKUP(Invoices[[#This Row],[Customer Account]],Customers[],4,0)</f>
        <v>Automotive</v>
      </c>
      <c r="P157" t="str">
        <f>VLOOKUP(Invoices[[#This Row],[Customer Account]],Customers[],3,0)</f>
        <v>North Carolina</v>
      </c>
      <c r="Q157" t="str">
        <f>VLOOKUP(Invoices[[#This Row],[Part  '#]],Products[],3,0)</f>
        <v>Accessories</v>
      </c>
      <c r="R157" s="25">
        <f>Invoices[[#This Row],[Quantity]]*Invoices[[#This Row],[Unit Cost]]</f>
        <v>86.1</v>
      </c>
      <c r="S157" s="25">
        <f>Invoices[[#This Row],[Quantity]]*Invoices[[#This Row],[New Unit Price]]</f>
        <v>0</v>
      </c>
      <c r="T157" s="25">
        <f>Invoices[[#This Row],[Revenue]]-Invoices[[#This Row],[Cost]]</f>
        <v>-86.1</v>
      </c>
      <c r="U157" s="25" t="str">
        <f>TEXT(Invoices[[#This Row],[Date]],"MMM")</f>
        <v>May</v>
      </c>
      <c r="V157" s="29">
        <f>CHOOSE(MONTH(Invoices[[#This Row],[Date]]),1,1,1,2,2,2,3,3,3,4,4,4)</f>
        <v>2</v>
      </c>
      <c r="W157" s="30">
        <f>IFERROR(Invoices[[#This Row],[Profit]]/Invoices[[#This Row],[Revenue]],0)</f>
        <v>0</v>
      </c>
    </row>
    <row r="158" spans="1:23" x14ac:dyDescent="0.3">
      <c r="A158" s="19" t="s">
        <v>5</v>
      </c>
      <c r="B158" s="4">
        <v>22846</v>
      </c>
      <c r="C158" s="15">
        <v>41411</v>
      </c>
      <c r="D158" s="9">
        <v>114</v>
      </c>
      <c r="E158" s="10" t="s">
        <v>82</v>
      </c>
      <c r="F158" s="8">
        <v>5</v>
      </c>
      <c r="G158" s="10"/>
      <c r="H158" s="4" t="s">
        <v>135</v>
      </c>
      <c r="I158" s="4" t="s">
        <v>52</v>
      </c>
      <c r="J158" s="4">
        <v>5</v>
      </c>
      <c r="K158" s="23">
        <v>100</v>
      </c>
      <c r="L158">
        <f>IF(Invoices[[#This Row],[Document Type]]="Return",Invoices[[#This Row],[Unit Price]]*-1,Invoices[[#This Row],[Unit Price]])</f>
        <v>100</v>
      </c>
      <c r="M158" t="str">
        <f>IF(Invoices[[#This Row],[New Unit Price]]&lt;0,"Return",
IF(Invoices[[#This Row],[New Unit Price]]=0,"Free",IF(Invoices[[#This Row],[New Unit Price]]&lt;100,"Basic","Premium")))</f>
        <v>Premium</v>
      </c>
      <c r="N158">
        <f>VLOOKUP(Invoices[[#This Row],[Part  '#]],Products[],4,0)</f>
        <v>27.17</v>
      </c>
      <c r="O158" t="str">
        <f>VLOOKUP(Invoices[[#This Row],[Customer Account]],Customers[],4,0)</f>
        <v>Automotive</v>
      </c>
      <c r="P158" t="str">
        <f>VLOOKUP(Invoices[[#This Row],[Customer Account]],Customers[],3,0)</f>
        <v>North Carolina</v>
      </c>
      <c r="Q158" t="str">
        <f>VLOOKUP(Invoices[[#This Row],[Part  '#]],Products[],3,0)</f>
        <v>Consumables</v>
      </c>
      <c r="R158" s="25">
        <f>Invoices[[#This Row],[Quantity]]*Invoices[[#This Row],[Unit Cost]]</f>
        <v>135.85000000000002</v>
      </c>
      <c r="S158" s="25">
        <f>Invoices[[#This Row],[Quantity]]*Invoices[[#This Row],[New Unit Price]]</f>
        <v>500</v>
      </c>
      <c r="T158" s="25">
        <f>Invoices[[#This Row],[Revenue]]-Invoices[[#This Row],[Cost]]</f>
        <v>364.15</v>
      </c>
      <c r="U158" s="25" t="str">
        <f>TEXT(Invoices[[#This Row],[Date]],"MMM")</f>
        <v>May</v>
      </c>
      <c r="V158" s="29">
        <f>CHOOSE(MONTH(Invoices[[#This Row],[Date]]),1,1,1,2,2,2,3,3,3,4,4,4)</f>
        <v>2</v>
      </c>
      <c r="W158" s="30">
        <f>IFERROR(Invoices[[#This Row],[Profit]]/Invoices[[#This Row],[Revenue]],0)</f>
        <v>0.72829999999999995</v>
      </c>
    </row>
    <row r="159" spans="1:23" x14ac:dyDescent="0.3">
      <c r="A159" s="19" t="s">
        <v>5</v>
      </c>
      <c r="B159" s="4">
        <v>22846</v>
      </c>
      <c r="C159" s="15">
        <v>41411</v>
      </c>
      <c r="D159" s="9">
        <v>114</v>
      </c>
      <c r="E159" s="10" t="s">
        <v>82</v>
      </c>
      <c r="F159" s="8">
        <v>6</v>
      </c>
      <c r="G159" s="10"/>
      <c r="H159" s="4" t="s">
        <v>136</v>
      </c>
      <c r="I159" s="4" t="s">
        <v>53</v>
      </c>
      <c r="J159" s="4">
        <v>5</v>
      </c>
      <c r="K159" s="23">
        <v>140</v>
      </c>
      <c r="L159">
        <f>IF(Invoices[[#This Row],[Document Type]]="Return",Invoices[[#This Row],[Unit Price]]*-1,Invoices[[#This Row],[Unit Price]])</f>
        <v>140</v>
      </c>
      <c r="M159" t="str">
        <f>IF(Invoices[[#This Row],[New Unit Price]]&lt;0,"Return",
IF(Invoices[[#This Row],[New Unit Price]]=0,"Free",IF(Invoices[[#This Row],[New Unit Price]]&lt;100,"Basic","Premium")))</f>
        <v>Premium</v>
      </c>
      <c r="N159">
        <f>VLOOKUP(Invoices[[#This Row],[Part  '#]],Products[],4,0)</f>
        <v>34.299999999999997</v>
      </c>
      <c r="O159" t="str">
        <f>VLOOKUP(Invoices[[#This Row],[Customer Account]],Customers[],4,0)</f>
        <v>Automotive</v>
      </c>
      <c r="P159" t="str">
        <f>VLOOKUP(Invoices[[#This Row],[Customer Account]],Customers[],3,0)</f>
        <v>North Carolina</v>
      </c>
      <c r="Q159" t="str">
        <f>VLOOKUP(Invoices[[#This Row],[Part  '#]],Products[],3,0)</f>
        <v>Consumables</v>
      </c>
      <c r="R159" s="25">
        <f>Invoices[[#This Row],[Quantity]]*Invoices[[#This Row],[Unit Cost]]</f>
        <v>171.5</v>
      </c>
      <c r="S159" s="25">
        <f>Invoices[[#This Row],[Quantity]]*Invoices[[#This Row],[New Unit Price]]</f>
        <v>700</v>
      </c>
      <c r="T159" s="25">
        <f>Invoices[[#This Row],[Revenue]]-Invoices[[#This Row],[Cost]]</f>
        <v>528.5</v>
      </c>
      <c r="U159" s="25" t="str">
        <f>TEXT(Invoices[[#This Row],[Date]],"MMM")</f>
        <v>May</v>
      </c>
      <c r="V159" s="29">
        <f>CHOOSE(MONTH(Invoices[[#This Row],[Date]]),1,1,1,2,2,2,3,3,3,4,4,4)</f>
        <v>2</v>
      </c>
      <c r="W159" s="30">
        <f>IFERROR(Invoices[[#This Row],[Profit]]/Invoices[[#This Row],[Revenue]],0)</f>
        <v>0.755</v>
      </c>
    </row>
    <row r="160" spans="1:23" x14ac:dyDescent="0.3">
      <c r="A160" s="19" t="s">
        <v>5</v>
      </c>
      <c r="B160" s="4">
        <v>22846</v>
      </c>
      <c r="C160" s="15">
        <v>41411</v>
      </c>
      <c r="D160" s="9">
        <v>114</v>
      </c>
      <c r="E160" s="10" t="s">
        <v>82</v>
      </c>
      <c r="F160" s="8">
        <v>7</v>
      </c>
      <c r="G160" s="10"/>
      <c r="H160" s="4" t="s">
        <v>128</v>
      </c>
      <c r="I160" s="4" t="s">
        <v>45</v>
      </c>
      <c r="J160" s="4">
        <v>20</v>
      </c>
      <c r="K160" s="23">
        <v>25</v>
      </c>
      <c r="L160">
        <f>IF(Invoices[[#This Row],[Document Type]]="Return",Invoices[[#This Row],[Unit Price]]*-1,Invoices[[#This Row],[Unit Price]])</f>
        <v>25</v>
      </c>
      <c r="M160" t="str">
        <f>IF(Invoices[[#This Row],[New Unit Price]]&lt;0,"Return",
IF(Invoices[[#This Row],[New Unit Price]]=0,"Free",IF(Invoices[[#This Row],[New Unit Price]]&lt;100,"Basic","Premium")))</f>
        <v>Basic</v>
      </c>
      <c r="N160">
        <f>VLOOKUP(Invoices[[#This Row],[Part  '#]],Products[],4,0)</f>
        <v>5.16</v>
      </c>
      <c r="O160" t="str">
        <f>VLOOKUP(Invoices[[#This Row],[Customer Account]],Customers[],4,0)</f>
        <v>Automotive</v>
      </c>
      <c r="P160" t="str">
        <f>VLOOKUP(Invoices[[#This Row],[Customer Account]],Customers[],3,0)</f>
        <v>North Carolina</v>
      </c>
      <c r="Q160" t="str">
        <f>VLOOKUP(Invoices[[#This Row],[Part  '#]],Products[],3,0)</f>
        <v>Consumables</v>
      </c>
      <c r="R160" s="25">
        <f>Invoices[[#This Row],[Quantity]]*Invoices[[#This Row],[Unit Cost]]</f>
        <v>103.2</v>
      </c>
      <c r="S160" s="25">
        <f>Invoices[[#This Row],[Quantity]]*Invoices[[#This Row],[New Unit Price]]</f>
        <v>500</v>
      </c>
      <c r="T160" s="25">
        <f>Invoices[[#This Row],[Revenue]]-Invoices[[#This Row],[Cost]]</f>
        <v>396.8</v>
      </c>
      <c r="U160" s="25" t="str">
        <f>TEXT(Invoices[[#This Row],[Date]],"MMM")</f>
        <v>May</v>
      </c>
      <c r="V160" s="29">
        <f>CHOOSE(MONTH(Invoices[[#This Row],[Date]]),1,1,1,2,2,2,3,3,3,4,4,4)</f>
        <v>2</v>
      </c>
      <c r="W160" s="30">
        <f>IFERROR(Invoices[[#This Row],[Profit]]/Invoices[[#This Row],[Revenue]],0)</f>
        <v>0.79359999999999997</v>
      </c>
    </row>
    <row r="161" spans="1:23" x14ac:dyDescent="0.3">
      <c r="A161" s="19" t="s">
        <v>5</v>
      </c>
      <c r="B161" s="4">
        <v>22846</v>
      </c>
      <c r="C161" s="15">
        <v>41411</v>
      </c>
      <c r="D161" s="9">
        <v>114</v>
      </c>
      <c r="E161" s="10" t="s">
        <v>82</v>
      </c>
      <c r="F161" s="8">
        <v>8</v>
      </c>
      <c r="G161" s="10"/>
      <c r="H161" s="4" t="s">
        <v>130</v>
      </c>
      <c r="I161" s="4" t="s">
        <v>47</v>
      </c>
      <c r="J161" s="4">
        <v>20</v>
      </c>
      <c r="K161" s="23">
        <v>24</v>
      </c>
      <c r="L161">
        <f>IF(Invoices[[#This Row],[Document Type]]="Return",Invoices[[#This Row],[Unit Price]]*-1,Invoices[[#This Row],[Unit Price]])</f>
        <v>24</v>
      </c>
      <c r="M161" t="str">
        <f>IF(Invoices[[#This Row],[New Unit Price]]&lt;0,"Return",
IF(Invoices[[#This Row],[New Unit Price]]=0,"Free",IF(Invoices[[#This Row],[New Unit Price]]&lt;100,"Basic","Premium")))</f>
        <v>Basic</v>
      </c>
      <c r="N161">
        <f>VLOOKUP(Invoices[[#This Row],[Part  '#]],Products[],4,0)</f>
        <v>7.09</v>
      </c>
      <c r="O161" t="str">
        <f>VLOOKUP(Invoices[[#This Row],[Customer Account]],Customers[],4,0)</f>
        <v>Automotive</v>
      </c>
      <c r="P161" t="str">
        <f>VLOOKUP(Invoices[[#This Row],[Customer Account]],Customers[],3,0)</f>
        <v>North Carolina</v>
      </c>
      <c r="Q161" t="str">
        <f>VLOOKUP(Invoices[[#This Row],[Part  '#]],Products[],3,0)</f>
        <v>Consumables</v>
      </c>
      <c r="R161" s="25">
        <f>Invoices[[#This Row],[Quantity]]*Invoices[[#This Row],[Unit Cost]]</f>
        <v>141.80000000000001</v>
      </c>
      <c r="S161" s="25">
        <f>Invoices[[#This Row],[Quantity]]*Invoices[[#This Row],[New Unit Price]]</f>
        <v>480</v>
      </c>
      <c r="T161" s="25">
        <f>Invoices[[#This Row],[Revenue]]-Invoices[[#This Row],[Cost]]</f>
        <v>338.2</v>
      </c>
      <c r="U161" s="25" t="str">
        <f>TEXT(Invoices[[#This Row],[Date]],"MMM")</f>
        <v>May</v>
      </c>
      <c r="V161" s="29">
        <f>CHOOSE(MONTH(Invoices[[#This Row],[Date]]),1,1,1,2,2,2,3,3,3,4,4,4)</f>
        <v>2</v>
      </c>
      <c r="W161" s="30">
        <f>IFERROR(Invoices[[#This Row],[Profit]]/Invoices[[#This Row],[Revenue]],0)</f>
        <v>0.70458333333333334</v>
      </c>
    </row>
    <row r="162" spans="1:23" x14ac:dyDescent="0.3">
      <c r="A162" s="19" t="s">
        <v>141</v>
      </c>
      <c r="B162" s="9">
        <v>22847</v>
      </c>
      <c r="C162" s="15">
        <v>41425</v>
      </c>
      <c r="D162" s="9">
        <v>114</v>
      </c>
      <c r="E162" s="10" t="s">
        <v>82</v>
      </c>
      <c r="F162" s="9">
        <v>1</v>
      </c>
      <c r="G162" s="10" t="s">
        <v>144</v>
      </c>
      <c r="H162" s="9" t="s">
        <v>108</v>
      </c>
      <c r="I162" s="4" t="s">
        <v>23</v>
      </c>
      <c r="J162" s="4">
        <v>1</v>
      </c>
      <c r="K162" s="23">
        <v>2700</v>
      </c>
      <c r="L162">
        <f>IF(Invoices[[#This Row],[Document Type]]="Return",Invoices[[#This Row],[Unit Price]]*-1,Invoices[[#This Row],[Unit Price]])</f>
        <v>-2700</v>
      </c>
      <c r="M162" t="str">
        <f>IF(Invoices[[#This Row],[New Unit Price]]&lt;0,"Return",
IF(Invoices[[#This Row],[New Unit Price]]=0,"Free",IF(Invoices[[#This Row],[New Unit Price]]&lt;100,"Basic","Premium")))</f>
        <v>Return</v>
      </c>
      <c r="N162">
        <f>VLOOKUP(Invoices[[#This Row],[Part  '#]],Products[],4,0)</f>
        <v>1440.45</v>
      </c>
      <c r="O162" t="str">
        <f>VLOOKUP(Invoices[[#This Row],[Customer Account]],Customers[],4,0)</f>
        <v>Automotive</v>
      </c>
      <c r="P162" t="str">
        <f>VLOOKUP(Invoices[[#This Row],[Customer Account]],Customers[],3,0)</f>
        <v>North Carolina</v>
      </c>
      <c r="Q162" t="str">
        <f>VLOOKUP(Invoices[[#This Row],[Part  '#]],Products[],3,0)</f>
        <v>Product</v>
      </c>
      <c r="R162" s="25">
        <f>Invoices[[#This Row],[Quantity]]*Invoices[[#This Row],[Unit Cost]]</f>
        <v>1440.45</v>
      </c>
      <c r="S162" s="25">
        <f>Invoices[[#This Row],[Quantity]]*Invoices[[#This Row],[New Unit Price]]</f>
        <v>-2700</v>
      </c>
      <c r="T162" s="25">
        <f>Invoices[[#This Row],[Revenue]]-Invoices[[#This Row],[Cost]]</f>
        <v>-4140.45</v>
      </c>
      <c r="U162" s="25" t="str">
        <f>TEXT(Invoices[[#This Row],[Date]],"MMM")</f>
        <v>May</v>
      </c>
      <c r="V162" s="29">
        <f>CHOOSE(MONTH(Invoices[[#This Row],[Date]]),1,1,1,2,2,2,3,3,3,4,4,4)</f>
        <v>2</v>
      </c>
      <c r="W162" s="30">
        <f>IFERROR(Invoices[[#This Row],[Profit]]/Invoices[[#This Row],[Revenue]],0)</f>
        <v>1.5334999999999999</v>
      </c>
    </row>
    <row r="163" spans="1:23" x14ac:dyDescent="0.3">
      <c r="A163" s="19" t="s">
        <v>141</v>
      </c>
      <c r="B163" s="9">
        <v>22847</v>
      </c>
      <c r="C163" s="15">
        <v>41425</v>
      </c>
      <c r="D163" s="9">
        <v>114</v>
      </c>
      <c r="E163" s="10" t="s">
        <v>82</v>
      </c>
      <c r="F163" s="9">
        <v>2</v>
      </c>
      <c r="G163" s="10" t="s">
        <v>144</v>
      </c>
      <c r="H163" s="9" t="s">
        <v>137</v>
      </c>
      <c r="I163" s="4" t="s">
        <v>31</v>
      </c>
      <c r="J163" s="4">
        <v>1</v>
      </c>
      <c r="K163" s="23">
        <v>30</v>
      </c>
      <c r="L163">
        <f>IF(Invoices[[#This Row],[Document Type]]="Return",Invoices[[#This Row],[Unit Price]]*-1,Invoices[[#This Row],[Unit Price]])</f>
        <v>-30</v>
      </c>
      <c r="M163" t="str">
        <f>IF(Invoices[[#This Row],[New Unit Price]]&lt;0,"Return",
IF(Invoices[[#This Row],[New Unit Price]]=0,"Free",IF(Invoices[[#This Row],[New Unit Price]]&lt;100,"Basic","Premium")))</f>
        <v>Return</v>
      </c>
      <c r="N163">
        <f>VLOOKUP(Invoices[[#This Row],[Part  '#]],Products[],4,0)</f>
        <v>6.3</v>
      </c>
      <c r="O163" t="str">
        <f>VLOOKUP(Invoices[[#This Row],[Customer Account]],Customers[],4,0)</f>
        <v>Automotive</v>
      </c>
      <c r="P163" t="str">
        <f>VLOOKUP(Invoices[[#This Row],[Customer Account]],Customers[],3,0)</f>
        <v>North Carolina</v>
      </c>
      <c r="Q163" t="str">
        <f>VLOOKUP(Invoices[[#This Row],[Part  '#]],Products[],3,0)</f>
        <v>Accessories</v>
      </c>
      <c r="R163" s="25">
        <f>Invoices[[#This Row],[Quantity]]*Invoices[[#This Row],[Unit Cost]]</f>
        <v>6.3</v>
      </c>
      <c r="S163" s="25">
        <f>Invoices[[#This Row],[Quantity]]*Invoices[[#This Row],[New Unit Price]]</f>
        <v>-30</v>
      </c>
      <c r="T163" s="25">
        <f>Invoices[[#This Row],[Revenue]]-Invoices[[#This Row],[Cost]]</f>
        <v>-36.299999999999997</v>
      </c>
      <c r="U163" s="25" t="str">
        <f>TEXT(Invoices[[#This Row],[Date]],"MMM")</f>
        <v>May</v>
      </c>
      <c r="V163" s="29">
        <f>CHOOSE(MONTH(Invoices[[#This Row],[Date]]),1,1,1,2,2,2,3,3,3,4,4,4)</f>
        <v>2</v>
      </c>
      <c r="W163" s="30">
        <f>IFERROR(Invoices[[#This Row],[Profit]]/Invoices[[#This Row],[Revenue]],0)</f>
        <v>1.21</v>
      </c>
    </row>
    <row r="164" spans="1:23" x14ac:dyDescent="0.3">
      <c r="A164" s="19" t="s">
        <v>141</v>
      </c>
      <c r="B164" s="9">
        <v>22847</v>
      </c>
      <c r="C164" s="15">
        <v>41425</v>
      </c>
      <c r="D164" s="9">
        <v>114</v>
      </c>
      <c r="E164" s="10" t="s">
        <v>82</v>
      </c>
      <c r="F164" s="9">
        <v>3</v>
      </c>
      <c r="G164" s="10" t="s">
        <v>144</v>
      </c>
      <c r="H164" s="9" t="s">
        <v>117</v>
      </c>
      <c r="I164" s="4" t="s">
        <v>33</v>
      </c>
      <c r="J164" s="4">
        <v>1</v>
      </c>
      <c r="K164" s="23">
        <v>30</v>
      </c>
      <c r="L164">
        <f>IF(Invoices[[#This Row],[Document Type]]="Return",Invoices[[#This Row],[Unit Price]]*-1,Invoices[[#This Row],[Unit Price]])</f>
        <v>-30</v>
      </c>
      <c r="M164" t="str">
        <f>IF(Invoices[[#This Row],[New Unit Price]]&lt;0,"Return",
IF(Invoices[[#This Row],[New Unit Price]]=0,"Free",IF(Invoices[[#This Row],[New Unit Price]]&lt;100,"Basic","Premium")))</f>
        <v>Return</v>
      </c>
      <c r="N164">
        <f>VLOOKUP(Invoices[[#This Row],[Part  '#]],Products[],4,0)</f>
        <v>11.59</v>
      </c>
      <c r="O164" t="str">
        <f>VLOOKUP(Invoices[[#This Row],[Customer Account]],Customers[],4,0)</f>
        <v>Automotive</v>
      </c>
      <c r="P164" t="str">
        <f>VLOOKUP(Invoices[[#This Row],[Customer Account]],Customers[],3,0)</f>
        <v>North Carolina</v>
      </c>
      <c r="Q164" t="str">
        <f>VLOOKUP(Invoices[[#This Row],[Part  '#]],Products[],3,0)</f>
        <v>Accessories</v>
      </c>
      <c r="R164" s="25">
        <f>Invoices[[#This Row],[Quantity]]*Invoices[[#This Row],[Unit Cost]]</f>
        <v>11.59</v>
      </c>
      <c r="S164" s="25">
        <f>Invoices[[#This Row],[Quantity]]*Invoices[[#This Row],[New Unit Price]]</f>
        <v>-30</v>
      </c>
      <c r="T164" s="25">
        <f>Invoices[[#This Row],[Revenue]]-Invoices[[#This Row],[Cost]]</f>
        <v>-41.59</v>
      </c>
      <c r="U164" s="25" t="str">
        <f>TEXT(Invoices[[#This Row],[Date]],"MMM")</f>
        <v>May</v>
      </c>
      <c r="V164" s="29">
        <f>CHOOSE(MONTH(Invoices[[#This Row],[Date]]),1,1,1,2,2,2,3,3,3,4,4,4)</f>
        <v>2</v>
      </c>
      <c r="W164" s="30">
        <f>IFERROR(Invoices[[#This Row],[Profit]]/Invoices[[#This Row],[Revenue]],0)</f>
        <v>1.3863333333333334</v>
      </c>
    </row>
    <row r="165" spans="1:23" x14ac:dyDescent="0.3">
      <c r="A165" s="19" t="s">
        <v>141</v>
      </c>
      <c r="B165" s="9">
        <v>22847</v>
      </c>
      <c r="C165" s="15">
        <v>41425</v>
      </c>
      <c r="D165" s="9">
        <v>114</v>
      </c>
      <c r="E165" s="10" t="s">
        <v>82</v>
      </c>
      <c r="F165" s="9">
        <v>4</v>
      </c>
      <c r="G165" s="10" t="s">
        <v>144</v>
      </c>
      <c r="H165" s="9" t="s">
        <v>119</v>
      </c>
      <c r="I165" s="4" t="s">
        <v>43</v>
      </c>
      <c r="J165" s="4">
        <v>1</v>
      </c>
      <c r="K165" s="23">
        <v>60</v>
      </c>
      <c r="L165">
        <f>IF(Invoices[[#This Row],[Document Type]]="Return",Invoices[[#This Row],[Unit Price]]*-1,Invoices[[#This Row],[Unit Price]])</f>
        <v>-60</v>
      </c>
      <c r="M165" t="str">
        <f>IF(Invoices[[#This Row],[New Unit Price]]&lt;0,"Return",
IF(Invoices[[#This Row],[New Unit Price]]=0,"Free",IF(Invoices[[#This Row],[New Unit Price]]&lt;100,"Basic","Premium")))</f>
        <v>Return</v>
      </c>
      <c r="N165">
        <f>VLOOKUP(Invoices[[#This Row],[Part  '#]],Products[],4,0)</f>
        <v>17.22</v>
      </c>
      <c r="O165" t="str">
        <f>VLOOKUP(Invoices[[#This Row],[Customer Account]],Customers[],4,0)</f>
        <v>Automotive</v>
      </c>
      <c r="P165" t="str">
        <f>VLOOKUP(Invoices[[#This Row],[Customer Account]],Customers[],3,0)</f>
        <v>North Carolina</v>
      </c>
      <c r="Q165" t="str">
        <f>VLOOKUP(Invoices[[#This Row],[Part  '#]],Products[],3,0)</f>
        <v>Accessories</v>
      </c>
      <c r="R165" s="25">
        <f>Invoices[[#This Row],[Quantity]]*Invoices[[#This Row],[Unit Cost]]</f>
        <v>17.22</v>
      </c>
      <c r="S165" s="25">
        <f>Invoices[[#This Row],[Quantity]]*Invoices[[#This Row],[New Unit Price]]</f>
        <v>-60</v>
      </c>
      <c r="T165" s="25">
        <f>Invoices[[#This Row],[Revenue]]-Invoices[[#This Row],[Cost]]</f>
        <v>-77.22</v>
      </c>
      <c r="U165" s="25" t="str">
        <f>TEXT(Invoices[[#This Row],[Date]],"MMM")</f>
        <v>May</v>
      </c>
      <c r="V165" s="29">
        <f>CHOOSE(MONTH(Invoices[[#This Row],[Date]]),1,1,1,2,2,2,3,3,3,4,4,4)</f>
        <v>2</v>
      </c>
      <c r="W165" s="30">
        <f>IFERROR(Invoices[[#This Row],[Profit]]/Invoices[[#This Row],[Revenue]],0)</f>
        <v>1.2869999999999999</v>
      </c>
    </row>
    <row r="166" spans="1:23" x14ac:dyDescent="0.3">
      <c r="A166" s="19" t="s">
        <v>5</v>
      </c>
      <c r="B166" s="9">
        <v>22848</v>
      </c>
      <c r="C166" s="15">
        <v>41426</v>
      </c>
      <c r="D166" s="9">
        <v>101</v>
      </c>
      <c r="E166" s="10" t="s">
        <v>61</v>
      </c>
      <c r="F166" s="8">
        <v>1</v>
      </c>
      <c r="G166" s="10"/>
      <c r="H166" s="4" t="s">
        <v>125</v>
      </c>
      <c r="I166" s="4" t="s">
        <v>40</v>
      </c>
      <c r="J166" s="4">
        <v>120</v>
      </c>
      <c r="K166" s="23">
        <v>24</v>
      </c>
      <c r="L166">
        <f>IF(Invoices[[#This Row],[Document Type]]="Return",Invoices[[#This Row],[Unit Price]]*-1,Invoices[[#This Row],[Unit Price]])</f>
        <v>24</v>
      </c>
      <c r="M166" t="str">
        <f>IF(Invoices[[#This Row],[New Unit Price]]&lt;0,"Return",
IF(Invoices[[#This Row],[New Unit Price]]=0,"Free",IF(Invoices[[#This Row],[New Unit Price]]&lt;100,"Basic","Premium")))</f>
        <v>Basic</v>
      </c>
      <c r="N166">
        <f>VLOOKUP(Invoices[[#This Row],[Part  '#]],Products[],4,0)</f>
        <v>6.9</v>
      </c>
      <c r="O166" t="str">
        <f>VLOOKUP(Invoices[[#This Row],[Customer Account]],Customers[],4,0)</f>
        <v>Automotive</v>
      </c>
      <c r="P166" t="str">
        <f>VLOOKUP(Invoices[[#This Row],[Customer Account]],Customers[],3,0)</f>
        <v>Georgia</v>
      </c>
      <c r="Q166" t="str">
        <f>VLOOKUP(Invoices[[#This Row],[Part  '#]],Products[],3,0)</f>
        <v>Consumables</v>
      </c>
      <c r="R166" s="25">
        <f>Invoices[[#This Row],[Quantity]]*Invoices[[#This Row],[Unit Cost]]</f>
        <v>828</v>
      </c>
      <c r="S166" s="25">
        <f>Invoices[[#This Row],[Quantity]]*Invoices[[#This Row],[New Unit Price]]</f>
        <v>2880</v>
      </c>
      <c r="T166" s="25">
        <f>Invoices[[#This Row],[Revenue]]-Invoices[[#This Row],[Cost]]</f>
        <v>2052</v>
      </c>
      <c r="U166" s="25" t="str">
        <f>TEXT(Invoices[[#This Row],[Date]],"MMM")</f>
        <v>Jun</v>
      </c>
      <c r="V166" s="29">
        <f>CHOOSE(MONTH(Invoices[[#This Row],[Date]]),1,1,1,2,2,2,3,3,3,4,4,4)</f>
        <v>2</v>
      </c>
      <c r="W166" s="30">
        <f>IFERROR(Invoices[[#This Row],[Profit]]/Invoices[[#This Row],[Revenue]],0)</f>
        <v>0.71250000000000002</v>
      </c>
    </row>
    <row r="167" spans="1:23" x14ac:dyDescent="0.3">
      <c r="A167" s="19" t="s">
        <v>5</v>
      </c>
      <c r="B167" s="9">
        <v>22848</v>
      </c>
      <c r="C167" s="15">
        <v>41426</v>
      </c>
      <c r="D167" s="9">
        <v>101</v>
      </c>
      <c r="E167" s="10" t="s">
        <v>61</v>
      </c>
      <c r="F167" s="8">
        <v>2</v>
      </c>
      <c r="G167" s="10"/>
      <c r="H167" s="4" t="s">
        <v>132</v>
      </c>
      <c r="I167" s="4" t="s">
        <v>49</v>
      </c>
      <c r="J167" s="4">
        <v>12</v>
      </c>
      <c r="K167" s="23">
        <v>70</v>
      </c>
      <c r="L167">
        <f>IF(Invoices[[#This Row],[Document Type]]="Return",Invoices[[#This Row],[Unit Price]]*-1,Invoices[[#This Row],[Unit Price]])</f>
        <v>70</v>
      </c>
      <c r="M167" t="str">
        <f>IF(Invoices[[#This Row],[New Unit Price]]&lt;0,"Return",
IF(Invoices[[#This Row],[New Unit Price]]=0,"Free",IF(Invoices[[#This Row],[New Unit Price]]&lt;100,"Basic","Premium")))</f>
        <v>Basic</v>
      </c>
      <c r="N167">
        <f>VLOOKUP(Invoices[[#This Row],[Part  '#]],Products[],4,0)</f>
        <v>13.92</v>
      </c>
      <c r="O167" t="str">
        <f>VLOOKUP(Invoices[[#This Row],[Customer Account]],Customers[],4,0)</f>
        <v>Automotive</v>
      </c>
      <c r="P167" t="str">
        <f>VLOOKUP(Invoices[[#This Row],[Customer Account]],Customers[],3,0)</f>
        <v>Georgia</v>
      </c>
      <c r="Q167" t="str">
        <f>VLOOKUP(Invoices[[#This Row],[Part  '#]],Products[],3,0)</f>
        <v>Consumables</v>
      </c>
      <c r="R167" s="25">
        <f>Invoices[[#This Row],[Quantity]]*Invoices[[#This Row],[Unit Cost]]</f>
        <v>167.04</v>
      </c>
      <c r="S167" s="25">
        <f>Invoices[[#This Row],[Quantity]]*Invoices[[#This Row],[New Unit Price]]</f>
        <v>840</v>
      </c>
      <c r="T167" s="25">
        <f>Invoices[[#This Row],[Revenue]]-Invoices[[#This Row],[Cost]]</f>
        <v>672.96</v>
      </c>
      <c r="U167" s="25" t="str">
        <f>TEXT(Invoices[[#This Row],[Date]],"MMM")</f>
        <v>Jun</v>
      </c>
      <c r="V167" s="29">
        <f>CHOOSE(MONTH(Invoices[[#This Row],[Date]]),1,1,1,2,2,2,3,3,3,4,4,4)</f>
        <v>2</v>
      </c>
      <c r="W167" s="30">
        <f>IFERROR(Invoices[[#This Row],[Profit]]/Invoices[[#This Row],[Revenue]],0)</f>
        <v>0.80114285714285716</v>
      </c>
    </row>
    <row r="168" spans="1:23" x14ac:dyDescent="0.3">
      <c r="A168" s="19" t="s">
        <v>5</v>
      </c>
      <c r="B168" s="9">
        <v>22849</v>
      </c>
      <c r="C168" s="15">
        <v>41426</v>
      </c>
      <c r="D168" s="9">
        <v>102</v>
      </c>
      <c r="E168" s="10" t="s">
        <v>63</v>
      </c>
      <c r="F168" s="8">
        <v>1</v>
      </c>
      <c r="G168" s="10"/>
      <c r="H168" s="4" t="s">
        <v>124</v>
      </c>
      <c r="I168" s="4" t="s">
        <v>39</v>
      </c>
      <c r="J168" s="4">
        <v>40</v>
      </c>
      <c r="K168" s="23">
        <v>35</v>
      </c>
      <c r="L168">
        <f>IF(Invoices[[#This Row],[Document Type]]="Return",Invoices[[#This Row],[Unit Price]]*-1,Invoices[[#This Row],[Unit Price]])</f>
        <v>35</v>
      </c>
      <c r="M168" t="str">
        <f>IF(Invoices[[#This Row],[New Unit Price]]&lt;0,"Return",
IF(Invoices[[#This Row],[New Unit Price]]=0,"Free",IF(Invoices[[#This Row],[New Unit Price]]&lt;100,"Basic","Premium")))</f>
        <v>Basic</v>
      </c>
      <c r="N168">
        <f>VLOOKUP(Invoices[[#This Row],[Part  '#]],Products[],4,0)</f>
        <v>6.37</v>
      </c>
      <c r="O168" t="str">
        <f>VLOOKUP(Invoices[[#This Row],[Customer Account]],Customers[],4,0)</f>
        <v>Automotive</v>
      </c>
      <c r="P168" t="str">
        <f>VLOOKUP(Invoices[[#This Row],[Customer Account]],Customers[],3,0)</f>
        <v>Georgia</v>
      </c>
      <c r="Q168" t="str">
        <f>VLOOKUP(Invoices[[#This Row],[Part  '#]],Products[],3,0)</f>
        <v>Consumables</v>
      </c>
      <c r="R168" s="25">
        <f>Invoices[[#This Row],[Quantity]]*Invoices[[#This Row],[Unit Cost]]</f>
        <v>254.8</v>
      </c>
      <c r="S168" s="25">
        <f>Invoices[[#This Row],[Quantity]]*Invoices[[#This Row],[New Unit Price]]</f>
        <v>1400</v>
      </c>
      <c r="T168" s="25">
        <f>Invoices[[#This Row],[Revenue]]-Invoices[[#This Row],[Cost]]</f>
        <v>1145.2</v>
      </c>
      <c r="U168" s="25" t="str">
        <f>TEXT(Invoices[[#This Row],[Date]],"MMM")</f>
        <v>Jun</v>
      </c>
      <c r="V168" s="29">
        <f>CHOOSE(MONTH(Invoices[[#This Row],[Date]]),1,1,1,2,2,2,3,3,3,4,4,4)</f>
        <v>2</v>
      </c>
      <c r="W168" s="30">
        <f>IFERROR(Invoices[[#This Row],[Profit]]/Invoices[[#This Row],[Revenue]],0)</f>
        <v>0.81800000000000006</v>
      </c>
    </row>
    <row r="169" spans="1:23" x14ac:dyDescent="0.3">
      <c r="A169" s="19" t="s">
        <v>5</v>
      </c>
      <c r="B169" s="9">
        <v>22849</v>
      </c>
      <c r="C169" s="15">
        <v>41426</v>
      </c>
      <c r="D169" s="9">
        <v>102</v>
      </c>
      <c r="E169" s="10" t="s">
        <v>63</v>
      </c>
      <c r="F169" s="8">
        <v>2</v>
      </c>
      <c r="G169" s="10"/>
      <c r="H169" s="4" t="s">
        <v>132</v>
      </c>
      <c r="I169" s="4" t="s">
        <v>49</v>
      </c>
      <c r="J169" s="4">
        <v>5</v>
      </c>
      <c r="K169" s="23">
        <v>70</v>
      </c>
      <c r="L169">
        <f>IF(Invoices[[#This Row],[Document Type]]="Return",Invoices[[#This Row],[Unit Price]]*-1,Invoices[[#This Row],[Unit Price]])</f>
        <v>70</v>
      </c>
      <c r="M169" t="str">
        <f>IF(Invoices[[#This Row],[New Unit Price]]&lt;0,"Return",
IF(Invoices[[#This Row],[New Unit Price]]=0,"Free",IF(Invoices[[#This Row],[New Unit Price]]&lt;100,"Basic","Premium")))</f>
        <v>Basic</v>
      </c>
      <c r="N169">
        <f>VLOOKUP(Invoices[[#This Row],[Part  '#]],Products[],4,0)</f>
        <v>13.92</v>
      </c>
      <c r="O169" t="str">
        <f>VLOOKUP(Invoices[[#This Row],[Customer Account]],Customers[],4,0)</f>
        <v>Automotive</v>
      </c>
      <c r="P169" t="str">
        <f>VLOOKUP(Invoices[[#This Row],[Customer Account]],Customers[],3,0)</f>
        <v>Georgia</v>
      </c>
      <c r="Q169" t="str">
        <f>VLOOKUP(Invoices[[#This Row],[Part  '#]],Products[],3,0)</f>
        <v>Consumables</v>
      </c>
      <c r="R169" s="25">
        <f>Invoices[[#This Row],[Quantity]]*Invoices[[#This Row],[Unit Cost]]</f>
        <v>69.599999999999994</v>
      </c>
      <c r="S169" s="25">
        <f>Invoices[[#This Row],[Quantity]]*Invoices[[#This Row],[New Unit Price]]</f>
        <v>350</v>
      </c>
      <c r="T169" s="25">
        <f>Invoices[[#This Row],[Revenue]]-Invoices[[#This Row],[Cost]]</f>
        <v>280.39999999999998</v>
      </c>
      <c r="U169" s="25" t="str">
        <f>TEXT(Invoices[[#This Row],[Date]],"MMM")</f>
        <v>Jun</v>
      </c>
      <c r="V169" s="29">
        <f>CHOOSE(MONTH(Invoices[[#This Row],[Date]]),1,1,1,2,2,2,3,3,3,4,4,4)</f>
        <v>2</v>
      </c>
      <c r="W169" s="30">
        <f>IFERROR(Invoices[[#This Row],[Profit]]/Invoices[[#This Row],[Revenue]],0)</f>
        <v>0.80114285714285705</v>
      </c>
    </row>
    <row r="170" spans="1:23" x14ac:dyDescent="0.3">
      <c r="A170" s="19" t="s">
        <v>5</v>
      </c>
      <c r="B170" s="9">
        <v>22850</v>
      </c>
      <c r="C170" s="15">
        <v>41426</v>
      </c>
      <c r="D170" s="9">
        <v>103</v>
      </c>
      <c r="E170" s="10" t="s">
        <v>71</v>
      </c>
      <c r="F170" s="8">
        <v>1</v>
      </c>
      <c r="G170" s="10"/>
      <c r="H170" s="4" t="s">
        <v>92</v>
      </c>
      <c r="I170" s="4" t="s">
        <v>10</v>
      </c>
      <c r="J170" s="4">
        <v>3</v>
      </c>
      <c r="K170" s="23">
        <v>1500</v>
      </c>
      <c r="L170">
        <f>IF(Invoices[[#This Row],[Document Type]]="Return",Invoices[[#This Row],[Unit Price]]*-1,Invoices[[#This Row],[Unit Price]])</f>
        <v>1500</v>
      </c>
      <c r="M170" t="str">
        <f>IF(Invoices[[#This Row],[New Unit Price]]&lt;0,"Return",
IF(Invoices[[#This Row],[New Unit Price]]=0,"Free",IF(Invoices[[#This Row],[New Unit Price]]&lt;100,"Basic","Premium")))</f>
        <v>Premium</v>
      </c>
      <c r="N170">
        <f>VLOOKUP(Invoices[[#This Row],[Part  '#]],Products[],4,0)</f>
        <v>899.1</v>
      </c>
      <c r="O170" t="str">
        <f>VLOOKUP(Invoices[[#This Row],[Customer Account]],Customers[],4,0)</f>
        <v>Financial</v>
      </c>
      <c r="P170" t="str">
        <f>VLOOKUP(Invoices[[#This Row],[Customer Account]],Customers[],3,0)</f>
        <v>Florida</v>
      </c>
      <c r="Q170" t="str">
        <f>VLOOKUP(Invoices[[#This Row],[Part  '#]],Products[],3,0)</f>
        <v>Product</v>
      </c>
      <c r="R170" s="25">
        <f>Invoices[[#This Row],[Quantity]]*Invoices[[#This Row],[Unit Cost]]</f>
        <v>2697.3</v>
      </c>
      <c r="S170" s="25">
        <f>Invoices[[#This Row],[Quantity]]*Invoices[[#This Row],[New Unit Price]]</f>
        <v>4500</v>
      </c>
      <c r="T170" s="25">
        <f>Invoices[[#This Row],[Revenue]]-Invoices[[#This Row],[Cost]]</f>
        <v>1802.6999999999998</v>
      </c>
      <c r="U170" s="25" t="str">
        <f>TEXT(Invoices[[#This Row],[Date]],"MMM")</f>
        <v>Jun</v>
      </c>
      <c r="V170" s="29">
        <f>CHOOSE(MONTH(Invoices[[#This Row],[Date]]),1,1,1,2,2,2,3,3,3,4,4,4)</f>
        <v>2</v>
      </c>
      <c r="W170" s="30">
        <f>IFERROR(Invoices[[#This Row],[Profit]]/Invoices[[#This Row],[Revenue]],0)</f>
        <v>0.40059999999999996</v>
      </c>
    </row>
    <row r="171" spans="1:23" x14ac:dyDescent="0.3">
      <c r="A171" s="19" t="s">
        <v>5</v>
      </c>
      <c r="B171" s="9">
        <v>22850</v>
      </c>
      <c r="C171" s="15">
        <v>41426</v>
      </c>
      <c r="D171" s="9">
        <v>103</v>
      </c>
      <c r="E171" s="10" t="s">
        <v>71</v>
      </c>
      <c r="F171" s="8">
        <v>2</v>
      </c>
      <c r="G171" s="10"/>
      <c r="H171" s="4" t="s">
        <v>109</v>
      </c>
      <c r="I171" s="4" t="s">
        <v>24</v>
      </c>
      <c r="J171" s="4">
        <v>3</v>
      </c>
      <c r="K171" s="23">
        <v>25</v>
      </c>
      <c r="L171">
        <f>IF(Invoices[[#This Row],[Document Type]]="Return",Invoices[[#This Row],[Unit Price]]*-1,Invoices[[#This Row],[Unit Price]])</f>
        <v>25</v>
      </c>
      <c r="M171" t="str">
        <f>IF(Invoices[[#This Row],[New Unit Price]]&lt;0,"Return",
IF(Invoices[[#This Row],[New Unit Price]]=0,"Free",IF(Invoices[[#This Row],[New Unit Price]]&lt;100,"Basic","Premium")))</f>
        <v>Basic</v>
      </c>
      <c r="N171">
        <f>VLOOKUP(Invoices[[#This Row],[Part  '#]],Products[],4,0)</f>
        <v>12.17</v>
      </c>
      <c r="O171" t="str">
        <f>VLOOKUP(Invoices[[#This Row],[Customer Account]],Customers[],4,0)</f>
        <v>Financial</v>
      </c>
      <c r="P171" t="str">
        <f>VLOOKUP(Invoices[[#This Row],[Customer Account]],Customers[],3,0)</f>
        <v>Florida</v>
      </c>
      <c r="Q171" t="str">
        <f>VLOOKUP(Invoices[[#This Row],[Part  '#]],Products[],3,0)</f>
        <v>Accessories</v>
      </c>
      <c r="R171" s="25">
        <f>Invoices[[#This Row],[Quantity]]*Invoices[[#This Row],[Unit Cost]]</f>
        <v>36.51</v>
      </c>
      <c r="S171" s="25">
        <f>Invoices[[#This Row],[Quantity]]*Invoices[[#This Row],[New Unit Price]]</f>
        <v>75</v>
      </c>
      <c r="T171" s="25">
        <f>Invoices[[#This Row],[Revenue]]-Invoices[[#This Row],[Cost]]</f>
        <v>38.49</v>
      </c>
      <c r="U171" s="25" t="str">
        <f>TEXT(Invoices[[#This Row],[Date]],"MMM")</f>
        <v>Jun</v>
      </c>
      <c r="V171" s="29">
        <f>CHOOSE(MONTH(Invoices[[#This Row],[Date]]),1,1,1,2,2,2,3,3,3,4,4,4)</f>
        <v>2</v>
      </c>
      <c r="W171" s="30">
        <f>IFERROR(Invoices[[#This Row],[Profit]]/Invoices[[#This Row],[Revenue]],0)</f>
        <v>0.51319999999999999</v>
      </c>
    </row>
    <row r="172" spans="1:23" x14ac:dyDescent="0.3">
      <c r="A172" s="19" t="s">
        <v>5</v>
      </c>
      <c r="B172" s="9">
        <v>22850</v>
      </c>
      <c r="C172" s="15">
        <v>41426</v>
      </c>
      <c r="D172" s="9">
        <v>103</v>
      </c>
      <c r="E172" s="10" t="s">
        <v>71</v>
      </c>
      <c r="F172" s="8">
        <v>3</v>
      </c>
      <c r="G172" s="10"/>
      <c r="H172" s="4" t="s">
        <v>116</v>
      </c>
      <c r="I172" s="4" t="s">
        <v>32</v>
      </c>
      <c r="J172" s="4">
        <v>3</v>
      </c>
      <c r="K172" s="23">
        <v>20</v>
      </c>
      <c r="L172">
        <f>IF(Invoices[[#This Row],[Document Type]]="Return",Invoices[[#This Row],[Unit Price]]*-1,Invoices[[#This Row],[Unit Price]])</f>
        <v>20</v>
      </c>
      <c r="M172" t="str">
        <f>IF(Invoices[[#This Row],[New Unit Price]]&lt;0,"Return",
IF(Invoices[[#This Row],[New Unit Price]]=0,"Free",IF(Invoices[[#This Row],[New Unit Price]]&lt;100,"Basic","Premium")))</f>
        <v>Basic</v>
      </c>
      <c r="N172">
        <f>VLOOKUP(Invoices[[#This Row],[Part  '#]],Products[],4,0)</f>
        <v>8.15</v>
      </c>
      <c r="O172" t="str">
        <f>VLOOKUP(Invoices[[#This Row],[Customer Account]],Customers[],4,0)</f>
        <v>Financial</v>
      </c>
      <c r="P172" t="str">
        <f>VLOOKUP(Invoices[[#This Row],[Customer Account]],Customers[],3,0)</f>
        <v>Florida</v>
      </c>
      <c r="Q172" t="str">
        <f>VLOOKUP(Invoices[[#This Row],[Part  '#]],Products[],3,0)</f>
        <v>Accessories</v>
      </c>
      <c r="R172" s="25">
        <f>Invoices[[#This Row],[Quantity]]*Invoices[[#This Row],[Unit Cost]]</f>
        <v>24.450000000000003</v>
      </c>
      <c r="S172" s="25">
        <f>Invoices[[#This Row],[Quantity]]*Invoices[[#This Row],[New Unit Price]]</f>
        <v>60</v>
      </c>
      <c r="T172" s="25">
        <f>Invoices[[#This Row],[Revenue]]-Invoices[[#This Row],[Cost]]</f>
        <v>35.549999999999997</v>
      </c>
      <c r="U172" s="25" t="str">
        <f>TEXT(Invoices[[#This Row],[Date]],"MMM")</f>
        <v>Jun</v>
      </c>
      <c r="V172" s="29">
        <f>CHOOSE(MONTH(Invoices[[#This Row],[Date]]),1,1,1,2,2,2,3,3,3,4,4,4)</f>
        <v>2</v>
      </c>
      <c r="W172" s="30">
        <f>IFERROR(Invoices[[#This Row],[Profit]]/Invoices[[#This Row],[Revenue]],0)</f>
        <v>0.59249999999999992</v>
      </c>
    </row>
    <row r="173" spans="1:23" x14ac:dyDescent="0.3">
      <c r="A173" s="19" t="s">
        <v>5</v>
      </c>
      <c r="B173" s="9">
        <v>22850</v>
      </c>
      <c r="C173" s="15">
        <v>41426</v>
      </c>
      <c r="D173" s="9">
        <v>103</v>
      </c>
      <c r="E173" s="10" t="s">
        <v>71</v>
      </c>
      <c r="F173" s="8">
        <v>4</v>
      </c>
      <c r="G173" s="10"/>
      <c r="H173" s="4" t="s">
        <v>118</v>
      </c>
      <c r="I173" s="4" t="s">
        <v>42</v>
      </c>
      <c r="J173" s="4">
        <v>3</v>
      </c>
      <c r="K173" s="23">
        <v>40</v>
      </c>
      <c r="L173">
        <f>IF(Invoices[[#This Row],[Document Type]]="Return",Invoices[[#This Row],[Unit Price]]*-1,Invoices[[#This Row],[Unit Price]])</f>
        <v>40</v>
      </c>
      <c r="M173" t="str">
        <f>IF(Invoices[[#This Row],[New Unit Price]]&lt;0,"Return",
IF(Invoices[[#This Row],[New Unit Price]]=0,"Free",IF(Invoices[[#This Row],[New Unit Price]]&lt;100,"Basic","Premium")))</f>
        <v>Basic</v>
      </c>
      <c r="N173">
        <f>VLOOKUP(Invoices[[#This Row],[Part  '#]],Products[],4,0)</f>
        <v>12.33</v>
      </c>
      <c r="O173" t="str">
        <f>VLOOKUP(Invoices[[#This Row],[Customer Account]],Customers[],4,0)</f>
        <v>Financial</v>
      </c>
      <c r="P173" t="str">
        <f>VLOOKUP(Invoices[[#This Row],[Customer Account]],Customers[],3,0)</f>
        <v>Florida</v>
      </c>
      <c r="Q173" t="str">
        <f>VLOOKUP(Invoices[[#This Row],[Part  '#]],Products[],3,0)</f>
        <v>Accessories</v>
      </c>
      <c r="R173" s="25">
        <f>Invoices[[#This Row],[Quantity]]*Invoices[[#This Row],[Unit Cost]]</f>
        <v>36.99</v>
      </c>
      <c r="S173" s="25">
        <f>Invoices[[#This Row],[Quantity]]*Invoices[[#This Row],[New Unit Price]]</f>
        <v>120</v>
      </c>
      <c r="T173" s="25">
        <f>Invoices[[#This Row],[Revenue]]-Invoices[[#This Row],[Cost]]</f>
        <v>83.009999999999991</v>
      </c>
      <c r="U173" s="25" t="str">
        <f>TEXT(Invoices[[#This Row],[Date]],"MMM")</f>
        <v>Jun</v>
      </c>
      <c r="V173" s="29">
        <f>CHOOSE(MONTH(Invoices[[#This Row],[Date]]),1,1,1,2,2,2,3,3,3,4,4,4)</f>
        <v>2</v>
      </c>
      <c r="W173" s="30">
        <f>IFERROR(Invoices[[#This Row],[Profit]]/Invoices[[#This Row],[Revenue]],0)</f>
        <v>0.69174999999999998</v>
      </c>
    </row>
    <row r="174" spans="1:23" x14ac:dyDescent="0.3">
      <c r="A174" s="19" t="s">
        <v>5</v>
      </c>
      <c r="B174" s="9">
        <v>22850</v>
      </c>
      <c r="C174" s="15">
        <v>41426</v>
      </c>
      <c r="D174" s="9">
        <v>103</v>
      </c>
      <c r="E174" s="10" t="s">
        <v>71</v>
      </c>
      <c r="F174" s="8">
        <v>5</v>
      </c>
      <c r="G174" s="10"/>
      <c r="H174" s="4" t="s">
        <v>123</v>
      </c>
      <c r="I174" s="4" t="s">
        <v>38</v>
      </c>
      <c r="J174" s="4">
        <v>3</v>
      </c>
      <c r="K174" s="23">
        <v>20</v>
      </c>
      <c r="L174">
        <f>IF(Invoices[[#This Row],[Document Type]]="Return",Invoices[[#This Row],[Unit Price]]*-1,Invoices[[#This Row],[Unit Price]])</f>
        <v>20</v>
      </c>
      <c r="M174" t="str">
        <f>IF(Invoices[[#This Row],[New Unit Price]]&lt;0,"Return",
IF(Invoices[[#This Row],[New Unit Price]]=0,"Free",IF(Invoices[[#This Row],[New Unit Price]]&lt;100,"Basic","Premium")))</f>
        <v>Basic</v>
      </c>
      <c r="N174">
        <f>VLOOKUP(Invoices[[#This Row],[Part  '#]],Products[],4,0)</f>
        <v>4.58</v>
      </c>
      <c r="O174" t="str">
        <f>VLOOKUP(Invoices[[#This Row],[Customer Account]],Customers[],4,0)</f>
        <v>Financial</v>
      </c>
      <c r="P174" t="str">
        <f>VLOOKUP(Invoices[[#This Row],[Customer Account]],Customers[],3,0)</f>
        <v>Florida</v>
      </c>
      <c r="Q174" t="str">
        <f>VLOOKUP(Invoices[[#This Row],[Part  '#]],Products[],3,0)</f>
        <v>Consumables</v>
      </c>
      <c r="R174" s="25">
        <f>Invoices[[#This Row],[Quantity]]*Invoices[[#This Row],[Unit Cost]]</f>
        <v>13.74</v>
      </c>
      <c r="S174" s="25">
        <f>Invoices[[#This Row],[Quantity]]*Invoices[[#This Row],[New Unit Price]]</f>
        <v>60</v>
      </c>
      <c r="T174" s="25">
        <f>Invoices[[#This Row],[Revenue]]-Invoices[[#This Row],[Cost]]</f>
        <v>46.26</v>
      </c>
      <c r="U174" s="25" t="str">
        <f>TEXT(Invoices[[#This Row],[Date]],"MMM")</f>
        <v>Jun</v>
      </c>
      <c r="V174" s="29">
        <f>CHOOSE(MONTH(Invoices[[#This Row],[Date]]),1,1,1,2,2,2,3,3,3,4,4,4)</f>
        <v>2</v>
      </c>
      <c r="W174" s="30">
        <f>IFERROR(Invoices[[#This Row],[Profit]]/Invoices[[#This Row],[Revenue]],0)</f>
        <v>0.77100000000000002</v>
      </c>
    </row>
    <row r="175" spans="1:23" x14ac:dyDescent="0.3">
      <c r="A175" s="19" t="s">
        <v>5</v>
      </c>
      <c r="B175" s="9">
        <v>22850</v>
      </c>
      <c r="C175" s="15">
        <v>41426</v>
      </c>
      <c r="D175" s="9">
        <v>103</v>
      </c>
      <c r="E175" s="10" t="s">
        <v>71</v>
      </c>
      <c r="F175" s="8">
        <v>6</v>
      </c>
      <c r="G175" s="10"/>
      <c r="H175" s="4" t="s">
        <v>120</v>
      </c>
      <c r="I175" s="4" t="s">
        <v>54</v>
      </c>
      <c r="J175" s="4">
        <v>1</v>
      </c>
      <c r="K175" s="23">
        <v>250</v>
      </c>
      <c r="L175">
        <f>IF(Invoices[[#This Row],[Document Type]]="Return",Invoices[[#This Row],[Unit Price]]*-1,Invoices[[#This Row],[Unit Price]])</f>
        <v>250</v>
      </c>
      <c r="M175" t="str">
        <f>IF(Invoices[[#This Row],[New Unit Price]]&lt;0,"Return",
IF(Invoices[[#This Row],[New Unit Price]]=0,"Free",IF(Invoices[[#This Row],[New Unit Price]]&lt;100,"Basic","Premium")))</f>
        <v>Premium</v>
      </c>
      <c r="N175">
        <f>VLOOKUP(Invoices[[#This Row],[Part  '#]],Products[],4,0)</f>
        <v>89.7</v>
      </c>
      <c r="O175" t="str">
        <f>VLOOKUP(Invoices[[#This Row],[Customer Account]],Customers[],4,0)</f>
        <v>Financial</v>
      </c>
      <c r="P175" t="str">
        <f>VLOOKUP(Invoices[[#This Row],[Customer Account]],Customers[],3,0)</f>
        <v>Florida</v>
      </c>
      <c r="Q175" t="str">
        <f>VLOOKUP(Invoices[[#This Row],[Part  '#]],Products[],3,0)</f>
        <v>Accessories</v>
      </c>
      <c r="R175" s="25">
        <f>Invoices[[#This Row],[Quantity]]*Invoices[[#This Row],[Unit Cost]]</f>
        <v>89.7</v>
      </c>
      <c r="S175" s="25">
        <f>Invoices[[#This Row],[Quantity]]*Invoices[[#This Row],[New Unit Price]]</f>
        <v>250</v>
      </c>
      <c r="T175" s="25">
        <f>Invoices[[#This Row],[Revenue]]-Invoices[[#This Row],[Cost]]</f>
        <v>160.30000000000001</v>
      </c>
      <c r="U175" s="25" t="str">
        <f>TEXT(Invoices[[#This Row],[Date]],"MMM")</f>
        <v>Jun</v>
      </c>
      <c r="V175" s="29">
        <f>CHOOSE(MONTH(Invoices[[#This Row],[Date]]),1,1,1,2,2,2,3,3,3,4,4,4)</f>
        <v>2</v>
      </c>
      <c r="W175" s="30">
        <f>IFERROR(Invoices[[#This Row],[Profit]]/Invoices[[#This Row],[Revenue]],0)</f>
        <v>0.64119999999999999</v>
      </c>
    </row>
    <row r="176" spans="1:23" x14ac:dyDescent="0.3">
      <c r="A176" s="19" t="s">
        <v>5</v>
      </c>
      <c r="B176" s="9">
        <v>22850</v>
      </c>
      <c r="C176" s="15">
        <v>41426</v>
      </c>
      <c r="D176" s="9">
        <v>103</v>
      </c>
      <c r="E176" s="10" t="s">
        <v>71</v>
      </c>
      <c r="F176" s="8">
        <v>7</v>
      </c>
      <c r="G176" s="10"/>
      <c r="H176" s="4" t="s">
        <v>132</v>
      </c>
      <c r="I176" s="4" t="s">
        <v>49</v>
      </c>
      <c r="J176" s="4">
        <v>4</v>
      </c>
      <c r="K176" s="23">
        <v>70</v>
      </c>
      <c r="L176">
        <f>IF(Invoices[[#This Row],[Document Type]]="Return",Invoices[[#This Row],[Unit Price]]*-1,Invoices[[#This Row],[Unit Price]])</f>
        <v>70</v>
      </c>
      <c r="M176" t="str">
        <f>IF(Invoices[[#This Row],[New Unit Price]]&lt;0,"Return",
IF(Invoices[[#This Row],[New Unit Price]]=0,"Free",IF(Invoices[[#This Row],[New Unit Price]]&lt;100,"Basic","Premium")))</f>
        <v>Basic</v>
      </c>
      <c r="N176">
        <f>VLOOKUP(Invoices[[#This Row],[Part  '#]],Products[],4,0)</f>
        <v>13.92</v>
      </c>
      <c r="O176" t="str">
        <f>VLOOKUP(Invoices[[#This Row],[Customer Account]],Customers[],4,0)</f>
        <v>Financial</v>
      </c>
      <c r="P176" t="str">
        <f>VLOOKUP(Invoices[[#This Row],[Customer Account]],Customers[],3,0)</f>
        <v>Florida</v>
      </c>
      <c r="Q176" t="str">
        <f>VLOOKUP(Invoices[[#This Row],[Part  '#]],Products[],3,0)</f>
        <v>Consumables</v>
      </c>
      <c r="R176" s="25">
        <f>Invoices[[#This Row],[Quantity]]*Invoices[[#This Row],[Unit Cost]]</f>
        <v>55.68</v>
      </c>
      <c r="S176" s="25">
        <f>Invoices[[#This Row],[Quantity]]*Invoices[[#This Row],[New Unit Price]]</f>
        <v>280</v>
      </c>
      <c r="T176" s="25">
        <f>Invoices[[#This Row],[Revenue]]-Invoices[[#This Row],[Cost]]</f>
        <v>224.32</v>
      </c>
      <c r="U176" s="25" t="str">
        <f>TEXT(Invoices[[#This Row],[Date]],"MMM")</f>
        <v>Jun</v>
      </c>
      <c r="V176" s="29">
        <f>CHOOSE(MONTH(Invoices[[#This Row],[Date]]),1,1,1,2,2,2,3,3,3,4,4,4)</f>
        <v>2</v>
      </c>
      <c r="W176" s="30">
        <f>IFERROR(Invoices[[#This Row],[Profit]]/Invoices[[#This Row],[Revenue]],0)</f>
        <v>0.80114285714285716</v>
      </c>
    </row>
    <row r="177" spans="1:23" x14ac:dyDescent="0.3">
      <c r="A177" s="19" t="s">
        <v>5</v>
      </c>
      <c r="B177" s="9">
        <v>22850</v>
      </c>
      <c r="C177" s="15">
        <v>41426</v>
      </c>
      <c r="D177" s="9">
        <v>103</v>
      </c>
      <c r="E177" s="10" t="s">
        <v>71</v>
      </c>
      <c r="F177" s="8">
        <v>8</v>
      </c>
      <c r="G177" s="10"/>
      <c r="H177" s="4" t="s">
        <v>125</v>
      </c>
      <c r="I177" s="4" t="s">
        <v>40</v>
      </c>
      <c r="J177" s="4">
        <v>4</v>
      </c>
      <c r="K177" s="23">
        <v>30</v>
      </c>
      <c r="L177">
        <f>IF(Invoices[[#This Row],[Document Type]]="Return",Invoices[[#This Row],[Unit Price]]*-1,Invoices[[#This Row],[Unit Price]])</f>
        <v>30</v>
      </c>
      <c r="M177" t="str">
        <f>IF(Invoices[[#This Row],[New Unit Price]]&lt;0,"Return",
IF(Invoices[[#This Row],[New Unit Price]]=0,"Free",IF(Invoices[[#This Row],[New Unit Price]]&lt;100,"Basic","Premium")))</f>
        <v>Basic</v>
      </c>
      <c r="N177">
        <f>VLOOKUP(Invoices[[#This Row],[Part  '#]],Products[],4,0)</f>
        <v>6.9</v>
      </c>
      <c r="O177" t="str">
        <f>VLOOKUP(Invoices[[#This Row],[Customer Account]],Customers[],4,0)</f>
        <v>Financial</v>
      </c>
      <c r="P177" t="str">
        <f>VLOOKUP(Invoices[[#This Row],[Customer Account]],Customers[],3,0)</f>
        <v>Florida</v>
      </c>
      <c r="Q177" t="str">
        <f>VLOOKUP(Invoices[[#This Row],[Part  '#]],Products[],3,0)</f>
        <v>Consumables</v>
      </c>
      <c r="R177" s="25">
        <f>Invoices[[#This Row],[Quantity]]*Invoices[[#This Row],[Unit Cost]]</f>
        <v>27.6</v>
      </c>
      <c r="S177" s="25">
        <f>Invoices[[#This Row],[Quantity]]*Invoices[[#This Row],[New Unit Price]]</f>
        <v>120</v>
      </c>
      <c r="T177" s="25">
        <f>Invoices[[#This Row],[Revenue]]-Invoices[[#This Row],[Cost]]</f>
        <v>92.4</v>
      </c>
      <c r="U177" s="25" t="str">
        <f>TEXT(Invoices[[#This Row],[Date]],"MMM")</f>
        <v>Jun</v>
      </c>
      <c r="V177" s="29">
        <f>CHOOSE(MONTH(Invoices[[#This Row],[Date]]),1,1,1,2,2,2,3,3,3,4,4,4)</f>
        <v>2</v>
      </c>
      <c r="W177" s="30">
        <f>IFERROR(Invoices[[#This Row],[Profit]]/Invoices[[#This Row],[Revenue]],0)</f>
        <v>0.77</v>
      </c>
    </row>
    <row r="178" spans="1:23" x14ac:dyDescent="0.3">
      <c r="A178" s="19" t="s">
        <v>5</v>
      </c>
      <c r="B178" s="9">
        <v>22851</v>
      </c>
      <c r="C178" s="15">
        <v>41426</v>
      </c>
      <c r="D178" s="9">
        <v>106</v>
      </c>
      <c r="E178" s="10" t="s">
        <v>69</v>
      </c>
      <c r="F178" s="8">
        <v>1</v>
      </c>
      <c r="G178" s="10"/>
      <c r="H178" s="4" t="s">
        <v>123</v>
      </c>
      <c r="I178" s="4" t="s">
        <v>38</v>
      </c>
      <c r="J178" s="4">
        <v>80</v>
      </c>
      <c r="K178" s="23">
        <v>18</v>
      </c>
      <c r="L178">
        <f>IF(Invoices[[#This Row],[Document Type]]="Return",Invoices[[#This Row],[Unit Price]]*-1,Invoices[[#This Row],[Unit Price]])</f>
        <v>18</v>
      </c>
      <c r="M178" t="str">
        <f>IF(Invoices[[#This Row],[New Unit Price]]&lt;0,"Return",
IF(Invoices[[#This Row],[New Unit Price]]=0,"Free",IF(Invoices[[#This Row],[New Unit Price]]&lt;100,"Basic","Premium")))</f>
        <v>Basic</v>
      </c>
      <c r="N178">
        <f>VLOOKUP(Invoices[[#This Row],[Part  '#]],Products[],4,0)</f>
        <v>4.58</v>
      </c>
      <c r="O178" t="str">
        <f>VLOOKUP(Invoices[[#This Row],[Customer Account]],Customers[],4,0)</f>
        <v>Automotive</v>
      </c>
      <c r="P178" t="str">
        <f>VLOOKUP(Invoices[[#This Row],[Customer Account]],Customers[],3,0)</f>
        <v>Tennessee</v>
      </c>
      <c r="Q178" t="str">
        <f>VLOOKUP(Invoices[[#This Row],[Part  '#]],Products[],3,0)</f>
        <v>Consumables</v>
      </c>
      <c r="R178" s="25">
        <f>Invoices[[#This Row],[Quantity]]*Invoices[[#This Row],[Unit Cost]]</f>
        <v>366.4</v>
      </c>
      <c r="S178" s="25">
        <f>Invoices[[#This Row],[Quantity]]*Invoices[[#This Row],[New Unit Price]]</f>
        <v>1440</v>
      </c>
      <c r="T178" s="25">
        <f>Invoices[[#This Row],[Revenue]]-Invoices[[#This Row],[Cost]]</f>
        <v>1073.5999999999999</v>
      </c>
      <c r="U178" s="25" t="str">
        <f>TEXT(Invoices[[#This Row],[Date]],"MMM")</f>
        <v>Jun</v>
      </c>
      <c r="V178" s="29">
        <f>CHOOSE(MONTH(Invoices[[#This Row],[Date]]),1,1,1,2,2,2,3,3,3,4,4,4)</f>
        <v>2</v>
      </c>
      <c r="W178" s="30">
        <f>IFERROR(Invoices[[#This Row],[Profit]]/Invoices[[#This Row],[Revenue]],0)</f>
        <v>0.74555555555555553</v>
      </c>
    </row>
    <row r="179" spans="1:23" x14ac:dyDescent="0.3">
      <c r="A179" s="19" t="s">
        <v>5</v>
      </c>
      <c r="B179" s="9">
        <v>22851</v>
      </c>
      <c r="C179" s="15">
        <v>41426</v>
      </c>
      <c r="D179" s="9">
        <v>106</v>
      </c>
      <c r="E179" s="10" t="s">
        <v>69</v>
      </c>
      <c r="F179" s="8">
        <v>2</v>
      </c>
      <c r="G179" s="10"/>
      <c r="H179" s="4" t="s">
        <v>132</v>
      </c>
      <c r="I179" s="4" t="s">
        <v>49</v>
      </c>
      <c r="J179" s="4">
        <v>20</v>
      </c>
      <c r="K179" s="23">
        <v>70</v>
      </c>
      <c r="L179">
        <f>IF(Invoices[[#This Row],[Document Type]]="Return",Invoices[[#This Row],[Unit Price]]*-1,Invoices[[#This Row],[Unit Price]])</f>
        <v>70</v>
      </c>
      <c r="M179" t="str">
        <f>IF(Invoices[[#This Row],[New Unit Price]]&lt;0,"Return",
IF(Invoices[[#This Row],[New Unit Price]]=0,"Free",IF(Invoices[[#This Row],[New Unit Price]]&lt;100,"Basic","Premium")))</f>
        <v>Basic</v>
      </c>
      <c r="N179">
        <f>VLOOKUP(Invoices[[#This Row],[Part  '#]],Products[],4,0)</f>
        <v>13.92</v>
      </c>
      <c r="O179" t="str">
        <f>VLOOKUP(Invoices[[#This Row],[Customer Account]],Customers[],4,0)</f>
        <v>Automotive</v>
      </c>
      <c r="P179" t="str">
        <f>VLOOKUP(Invoices[[#This Row],[Customer Account]],Customers[],3,0)</f>
        <v>Tennessee</v>
      </c>
      <c r="Q179" t="str">
        <f>VLOOKUP(Invoices[[#This Row],[Part  '#]],Products[],3,0)</f>
        <v>Consumables</v>
      </c>
      <c r="R179" s="25">
        <f>Invoices[[#This Row],[Quantity]]*Invoices[[#This Row],[Unit Cost]]</f>
        <v>278.39999999999998</v>
      </c>
      <c r="S179" s="25">
        <f>Invoices[[#This Row],[Quantity]]*Invoices[[#This Row],[New Unit Price]]</f>
        <v>1400</v>
      </c>
      <c r="T179" s="25">
        <f>Invoices[[#This Row],[Revenue]]-Invoices[[#This Row],[Cost]]</f>
        <v>1121.5999999999999</v>
      </c>
      <c r="U179" s="25" t="str">
        <f>TEXT(Invoices[[#This Row],[Date]],"MMM")</f>
        <v>Jun</v>
      </c>
      <c r="V179" s="29">
        <f>CHOOSE(MONTH(Invoices[[#This Row],[Date]]),1,1,1,2,2,2,3,3,3,4,4,4)</f>
        <v>2</v>
      </c>
      <c r="W179" s="30">
        <f>IFERROR(Invoices[[#This Row],[Profit]]/Invoices[[#This Row],[Revenue]],0)</f>
        <v>0.80114285714285705</v>
      </c>
    </row>
    <row r="180" spans="1:23" x14ac:dyDescent="0.3">
      <c r="A180" s="19" t="s">
        <v>5</v>
      </c>
      <c r="B180" s="9">
        <v>22852</v>
      </c>
      <c r="C180" s="15">
        <v>41426</v>
      </c>
      <c r="D180" s="9">
        <v>107</v>
      </c>
      <c r="E180" s="10" t="s">
        <v>72</v>
      </c>
      <c r="F180" s="8">
        <v>1</v>
      </c>
      <c r="G180" s="10"/>
      <c r="H180" s="4" t="s">
        <v>125</v>
      </c>
      <c r="I180" s="4" t="s">
        <v>40</v>
      </c>
      <c r="J180" s="4">
        <v>10</v>
      </c>
      <c r="K180" s="23">
        <v>30</v>
      </c>
      <c r="L180">
        <f>IF(Invoices[[#This Row],[Document Type]]="Return",Invoices[[#This Row],[Unit Price]]*-1,Invoices[[#This Row],[Unit Price]])</f>
        <v>30</v>
      </c>
      <c r="M180" t="str">
        <f>IF(Invoices[[#This Row],[New Unit Price]]&lt;0,"Return",
IF(Invoices[[#This Row],[New Unit Price]]=0,"Free",IF(Invoices[[#This Row],[New Unit Price]]&lt;100,"Basic","Premium")))</f>
        <v>Basic</v>
      </c>
      <c r="N180">
        <f>VLOOKUP(Invoices[[#This Row],[Part  '#]],Products[],4,0)</f>
        <v>6.9</v>
      </c>
      <c r="O180" t="str">
        <f>VLOOKUP(Invoices[[#This Row],[Customer Account]],Customers[],4,0)</f>
        <v>Financial</v>
      </c>
      <c r="P180" t="str">
        <f>VLOOKUP(Invoices[[#This Row],[Customer Account]],Customers[],3,0)</f>
        <v>Georgia</v>
      </c>
      <c r="Q180" t="str">
        <f>VLOOKUP(Invoices[[#This Row],[Part  '#]],Products[],3,0)</f>
        <v>Consumables</v>
      </c>
      <c r="R180" s="25">
        <f>Invoices[[#This Row],[Quantity]]*Invoices[[#This Row],[Unit Cost]]</f>
        <v>69</v>
      </c>
      <c r="S180" s="25">
        <f>Invoices[[#This Row],[Quantity]]*Invoices[[#This Row],[New Unit Price]]</f>
        <v>300</v>
      </c>
      <c r="T180" s="25">
        <f>Invoices[[#This Row],[Revenue]]-Invoices[[#This Row],[Cost]]</f>
        <v>231</v>
      </c>
      <c r="U180" s="25" t="str">
        <f>TEXT(Invoices[[#This Row],[Date]],"MMM")</f>
        <v>Jun</v>
      </c>
      <c r="V180" s="29">
        <f>CHOOSE(MONTH(Invoices[[#This Row],[Date]]),1,1,1,2,2,2,3,3,3,4,4,4)</f>
        <v>2</v>
      </c>
      <c r="W180" s="30">
        <f>IFERROR(Invoices[[#This Row],[Profit]]/Invoices[[#This Row],[Revenue]],0)</f>
        <v>0.77</v>
      </c>
    </row>
    <row r="181" spans="1:23" x14ac:dyDescent="0.3">
      <c r="A181" s="19" t="s">
        <v>5</v>
      </c>
      <c r="B181" s="9">
        <v>22852</v>
      </c>
      <c r="C181" s="15">
        <v>41426</v>
      </c>
      <c r="D181" s="9">
        <v>107</v>
      </c>
      <c r="E181" s="10" t="s">
        <v>72</v>
      </c>
      <c r="F181" s="8">
        <v>2</v>
      </c>
      <c r="G181" s="10"/>
      <c r="H181" s="4" t="s">
        <v>132</v>
      </c>
      <c r="I181" s="4" t="s">
        <v>49</v>
      </c>
      <c r="J181" s="4">
        <v>2</v>
      </c>
      <c r="K181" s="23">
        <v>70</v>
      </c>
      <c r="L181">
        <f>IF(Invoices[[#This Row],[Document Type]]="Return",Invoices[[#This Row],[Unit Price]]*-1,Invoices[[#This Row],[Unit Price]])</f>
        <v>70</v>
      </c>
      <c r="M181" t="str">
        <f>IF(Invoices[[#This Row],[New Unit Price]]&lt;0,"Return",
IF(Invoices[[#This Row],[New Unit Price]]=0,"Free",IF(Invoices[[#This Row],[New Unit Price]]&lt;100,"Basic","Premium")))</f>
        <v>Basic</v>
      </c>
      <c r="N181">
        <f>VLOOKUP(Invoices[[#This Row],[Part  '#]],Products[],4,0)</f>
        <v>13.92</v>
      </c>
      <c r="O181" t="str">
        <f>VLOOKUP(Invoices[[#This Row],[Customer Account]],Customers[],4,0)</f>
        <v>Financial</v>
      </c>
      <c r="P181" t="str">
        <f>VLOOKUP(Invoices[[#This Row],[Customer Account]],Customers[],3,0)</f>
        <v>Georgia</v>
      </c>
      <c r="Q181" t="str">
        <f>VLOOKUP(Invoices[[#This Row],[Part  '#]],Products[],3,0)</f>
        <v>Consumables</v>
      </c>
      <c r="R181" s="25">
        <f>Invoices[[#This Row],[Quantity]]*Invoices[[#This Row],[Unit Cost]]</f>
        <v>27.84</v>
      </c>
      <c r="S181" s="25">
        <f>Invoices[[#This Row],[Quantity]]*Invoices[[#This Row],[New Unit Price]]</f>
        <v>140</v>
      </c>
      <c r="T181" s="25">
        <f>Invoices[[#This Row],[Revenue]]-Invoices[[#This Row],[Cost]]</f>
        <v>112.16</v>
      </c>
      <c r="U181" s="25" t="str">
        <f>TEXT(Invoices[[#This Row],[Date]],"MMM")</f>
        <v>Jun</v>
      </c>
      <c r="V181" s="29">
        <f>CHOOSE(MONTH(Invoices[[#This Row],[Date]]),1,1,1,2,2,2,3,3,3,4,4,4)</f>
        <v>2</v>
      </c>
      <c r="W181" s="30">
        <f>IFERROR(Invoices[[#This Row],[Profit]]/Invoices[[#This Row],[Revenue]],0)</f>
        <v>0.80114285714285716</v>
      </c>
    </row>
    <row r="182" spans="1:23" x14ac:dyDescent="0.3">
      <c r="A182" s="19" t="s">
        <v>5</v>
      </c>
      <c r="B182" s="9">
        <v>22853</v>
      </c>
      <c r="C182" s="15">
        <v>41426</v>
      </c>
      <c r="D182" s="9">
        <v>112</v>
      </c>
      <c r="E182" s="10" t="s">
        <v>80</v>
      </c>
      <c r="F182" s="8">
        <v>1</v>
      </c>
      <c r="G182" s="10"/>
      <c r="H182" s="4" t="s">
        <v>132</v>
      </c>
      <c r="I182" s="4" t="s">
        <v>49</v>
      </c>
      <c r="J182" s="4">
        <v>5</v>
      </c>
      <c r="K182" s="23">
        <v>70</v>
      </c>
      <c r="L182">
        <f>IF(Invoices[[#This Row],[Document Type]]="Return",Invoices[[#This Row],[Unit Price]]*-1,Invoices[[#This Row],[Unit Price]])</f>
        <v>70</v>
      </c>
      <c r="M182" t="str">
        <f>IF(Invoices[[#This Row],[New Unit Price]]&lt;0,"Return",
IF(Invoices[[#This Row],[New Unit Price]]=0,"Free",IF(Invoices[[#This Row],[New Unit Price]]&lt;100,"Basic","Premium")))</f>
        <v>Basic</v>
      </c>
      <c r="N182">
        <f>VLOOKUP(Invoices[[#This Row],[Part  '#]],Products[],4,0)</f>
        <v>13.92</v>
      </c>
      <c r="O182" t="str">
        <f>VLOOKUP(Invoices[[#This Row],[Customer Account]],Customers[],4,0)</f>
        <v>Financial</v>
      </c>
      <c r="P182" t="str">
        <f>VLOOKUP(Invoices[[#This Row],[Customer Account]],Customers[],3,0)</f>
        <v>Georgia</v>
      </c>
      <c r="Q182" t="str">
        <f>VLOOKUP(Invoices[[#This Row],[Part  '#]],Products[],3,0)</f>
        <v>Consumables</v>
      </c>
      <c r="R182" s="25">
        <f>Invoices[[#This Row],[Quantity]]*Invoices[[#This Row],[Unit Cost]]</f>
        <v>69.599999999999994</v>
      </c>
      <c r="S182" s="25">
        <f>Invoices[[#This Row],[Quantity]]*Invoices[[#This Row],[New Unit Price]]</f>
        <v>350</v>
      </c>
      <c r="T182" s="25">
        <f>Invoices[[#This Row],[Revenue]]-Invoices[[#This Row],[Cost]]</f>
        <v>280.39999999999998</v>
      </c>
      <c r="U182" s="25" t="str">
        <f>TEXT(Invoices[[#This Row],[Date]],"MMM")</f>
        <v>Jun</v>
      </c>
      <c r="V182" s="29">
        <f>CHOOSE(MONTH(Invoices[[#This Row],[Date]]),1,1,1,2,2,2,3,3,3,4,4,4)</f>
        <v>2</v>
      </c>
      <c r="W182" s="30">
        <f>IFERROR(Invoices[[#This Row],[Profit]]/Invoices[[#This Row],[Revenue]],0)</f>
        <v>0.80114285714285705</v>
      </c>
    </row>
    <row r="183" spans="1:23" x14ac:dyDescent="0.3">
      <c r="A183" s="19" t="s">
        <v>5</v>
      </c>
      <c r="B183" s="9">
        <v>22853</v>
      </c>
      <c r="C183" s="15">
        <v>41426</v>
      </c>
      <c r="D183" s="9">
        <v>112</v>
      </c>
      <c r="E183" s="10" t="s">
        <v>80</v>
      </c>
      <c r="F183" s="8">
        <v>2</v>
      </c>
      <c r="G183" s="10"/>
      <c r="H183" s="4" t="s">
        <v>125</v>
      </c>
      <c r="I183" s="4" t="s">
        <v>40</v>
      </c>
      <c r="J183" s="4">
        <v>5</v>
      </c>
      <c r="K183" s="23">
        <v>30</v>
      </c>
      <c r="L183">
        <f>IF(Invoices[[#This Row],[Document Type]]="Return",Invoices[[#This Row],[Unit Price]]*-1,Invoices[[#This Row],[Unit Price]])</f>
        <v>30</v>
      </c>
      <c r="M183" t="str">
        <f>IF(Invoices[[#This Row],[New Unit Price]]&lt;0,"Return",
IF(Invoices[[#This Row],[New Unit Price]]=0,"Free",IF(Invoices[[#This Row],[New Unit Price]]&lt;100,"Basic","Premium")))</f>
        <v>Basic</v>
      </c>
      <c r="N183">
        <f>VLOOKUP(Invoices[[#This Row],[Part  '#]],Products[],4,0)</f>
        <v>6.9</v>
      </c>
      <c r="O183" t="str">
        <f>VLOOKUP(Invoices[[#This Row],[Customer Account]],Customers[],4,0)</f>
        <v>Financial</v>
      </c>
      <c r="P183" t="str">
        <f>VLOOKUP(Invoices[[#This Row],[Customer Account]],Customers[],3,0)</f>
        <v>Georgia</v>
      </c>
      <c r="Q183" t="str">
        <f>VLOOKUP(Invoices[[#This Row],[Part  '#]],Products[],3,0)</f>
        <v>Consumables</v>
      </c>
      <c r="R183" s="25">
        <f>Invoices[[#This Row],[Quantity]]*Invoices[[#This Row],[Unit Cost]]</f>
        <v>34.5</v>
      </c>
      <c r="S183" s="25">
        <f>Invoices[[#This Row],[Quantity]]*Invoices[[#This Row],[New Unit Price]]</f>
        <v>150</v>
      </c>
      <c r="T183" s="25">
        <f>Invoices[[#This Row],[Revenue]]-Invoices[[#This Row],[Cost]]</f>
        <v>115.5</v>
      </c>
      <c r="U183" s="25" t="str">
        <f>TEXT(Invoices[[#This Row],[Date]],"MMM")</f>
        <v>Jun</v>
      </c>
      <c r="V183" s="29">
        <f>CHOOSE(MONTH(Invoices[[#This Row],[Date]]),1,1,1,2,2,2,3,3,3,4,4,4)</f>
        <v>2</v>
      </c>
      <c r="W183" s="30">
        <f>IFERROR(Invoices[[#This Row],[Profit]]/Invoices[[#This Row],[Revenue]],0)</f>
        <v>0.77</v>
      </c>
    </row>
    <row r="184" spans="1:23" x14ac:dyDescent="0.3">
      <c r="A184" s="19" t="s">
        <v>5</v>
      </c>
      <c r="B184" s="9">
        <v>22854</v>
      </c>
      <c r="C184" s="15">
        <v>41426</v>
      </c>
      <c r="D184" s="9">
        <v>113</v>
      </c>
      <c r="E184" s="10" t="s">
        <v>81</v>
      </c>
      <c r="F184" s="8">
        <v>1</v>
      </c>
      <c r="G184" s="10"/>
      <c r="H184" s="4" t="s">
        <v>125</v>
      </c>
      <c r="I184" s="4" t="s">
        <v>40</v>
      </c>
      <c r="J184" s="4">
        <v>250</v>
      </c>
      <c r="K184" s="23">
        <v>24</v>
      </c>
      <c r="L184">
        <f>IF(Invoices[[#This Row],[Document Type]]="Return",Invoices[[#This Row],[Unit Price]]*-1,Invoices[[#This Row],[Unit Price]])</f>
        <v>24</v>
      </c>
      <c r="M184" t="str">
        <f>IF(Invoices[[#This Row],[New Unit Price]]&lt;0,"Return",
IF(Invoices[[#This Row],[New Unit Price]]=0,"Free",IF(Invoices[[#This Row],[New Unit Price]]&lt;100,"Basic","Premium")))</f>
        <v>Basic</v>
      </c>
      <c r="N184">
        <f>VLOOKUP(Invoices[[#This Row],[Part  '#]],Products[],4,0)</f>
        <v>6.9</v>
      </c>
      <c r="O184" t="str">
        <f>VLOOKUP(Invoices[[#This Row],[Customer Account]],Customers[],4,0)</f>
        <v>Financial</v>
      </c>
      <c r="P184" t="str">
        <f>VLOOKUP(Invoices[[#This Row],[Customer Account]],Customers[],3,0)</f>
        <v>Georgia</v>
      </c>
      <c r="Q184" t="str">
        <f>VLOOKUP(Invoices[[#This Row],[Part  '#]],Products[],3,0)</f>
        <v>Consumables</v>
      </c>
      <c r="R184" s="25">
        <f>Invoices[[#This Row],[Quantity]]*Invoices[[#This Row],[Unit Cost]]</f>
        <v>1725</v>
      </c>
      <c r="S184" s="25">
        <f>Invoices[[#This Row],[Quantity]]*Invoices[[#This Row],[New Unit Price]]</f>
        <v>6000</v>
      </c>
      <c r="T184" s="25">
        <f>Invoices[[#This Row],[Revenue]]-Invoices[[#This Row],[Cost]]</f>
        <v>4275</v>
      </c>
      <c r="U184" s="25" t="str">
        <f>TEXT(Invoices[[#This Row],[Date]],"MMM")</f>
        <v>Jun</v>
      </c>
      <c r="V184" s="29">
        <f>CHOOSE(MONTH(Invoices[[#This Row],[Date]]),1,1,1,2,2,2,3,3,3,4,4,4)</f>
        <v>2</v>
      </c>
      <c r="W184" s="30">
        <f>IFERROR(Invoices[[#This Row],[Profit]]/Invoices[[#This Row],[Revenue]],0)</f>
        <v>0.71250000000000002</v>
      </c>
    </row>
    <row r="185" spans="1:23" x14ac:dyDescent="0.3">
      <c r="A185" s="19" t="s">
        <v>5</v>
      </c>
      <c r="B185" s="9">
        <v>22854</v>
      </c>
      <c r="C185" s="15">
        <v>41426</v>
      </c>
      <c r="D185" s="9">
        <v>113</v>
      </c>
      <c r="E185" s="10" t="s">
        <v>81</v>
      </c>
      <c r="F185" s="8">
        <v>2</v>
      </c>
      <c r="G185" s="10"/>
      <c r="H185" s="4" t="s">
        <v>132</v>
      </c>
      <c r="I185" s="4" t="s">
        <v>49</v>
      </c>
      <c r="J185" s="4">
        <v>50</v>
      </c>
      <c r="K185" s="23">
        <v>70</v>
      </c>
      <c r="L185">
        <f>IF(Invoices[[#This Row],[Document Type]]="Return",Invoices[[#This Row],[Unit Price]]*-1,Invoices[[#This Row],[Unit Price]])</f>
        <v>70</v>
      </c>
      <c r="M185" t="str">
        <f>IF(Invoices[[#This Row],[New Unit Price]]&lt;0,"Return",
IF(Invoices[[#This Row],[New Unit Price]]=0,"Free",IF(Invoices[[#This Row],[New Unit Price]]&lt;100,"Basic","Premium")))</f>
        <v>Basic</v>
      </c>
      <c r="N185">
        <f>VLOOKUP(Invoices[[#This Row],[Part  '#]],Products[],4,0)</f>
        <v>13.92</v>
      </c>
      <c r="O185" t="str">
        <f>VLOOKUP(Invoices[[#This Row],[Customer Account]],Customers[],4,0)</f>
        <v>Financial</v>
      </c>
      <c r="P185" t="str">
        <f>VLOOKUP(Invoices[[#This Row],[Customer Account]],Customers[],3,0)</f>
        <v>Georgia</v>
      </c>
      <c r="Q185" t="str">
        <f>VLOOKUP(Invoices[[#This Row],[Part  '#]],Products[],3,0)</f>
        <v>Consumables</v>
      </c>
      <c r="R185" s="25">
        <f>Invoices[[#This Row],[Quantity]]*Invoices[[#This Row],[Unit Cost]]</f>
        <v>696</v>
      </c>
      <c r="S185" s="25">
        <f>Invoices[[#This Row],[Quantity]]*Invoices[[#This Row],[New Unit Price]]</f>
        <v>3500</v>
      </c>
      <c r="T185" s="25">
        <f>Invoices[[#This Row],[Revenue]]-Invoices[[#This Row],[Cost]]</f>
        <v>2804</v>
      </c>
      <c r="U185" s="25" t="str">
        <f>TEXT(Invoices[[#This Row],[Date]],"MMM")</f>
        <v>Jun</v>
      </c>
      <c r="V185" s="29">
        <f>CHOOSE(MONTH(Invoices[[#This Row],[Date]]),1,1,1,2,2,2,3,3,3,4,4,4)</f>
        <v>2</v>
      </c>
      <c r="W185" s="30">
        <f>IFERROR(Invoices[[#This Row],[Profit]]/Invoices[[#This Row],[Revenue]],0)</f>
        <v>0.80114285714285716</v>
      </c>
    </row>
    <row r="186" spans="1:23" x14ac:dyDescent="0.3">
      <c r="A186" s="19" t="s">
        <v>5</v>
      </c>
      <c r="B186" s="9">
        <v>22855</v>
      </c>
      <c r="C186" s="15">
        <v>41426</v>
      </c>
      <c r="D186" s="9">
        <v>115</v>
      </c>
      <c r="E186" s="10" t="s">
        <v>83</v>
      </c>
      <c r="F186" s="8">
        <v>1</v>
      </c>
      <c r="G186" s="10"/>
      <c r="H186" s="4" t="s">
        <v>124</v>
      </c>
      <c r="I186" s="4" t="s">
        <v>39</v>
      </c>
      <c r="J186" s="4">
        <v>40</v>
      </c>
      <c r="K186" s="23">
        <v>35</v>
      </c>
      <c r="L186">
        <f>IF(Invoices[[#This Row],[Document Type]]="Return",Invoices[[#This Row],[Unit Price]]*-1,Invoices[[#This Row],[Unit Price]])</f>
        <v>35</v>
      </c>
      <c r="M186" t="str">
        <f>IF(Invoices[[#This Row],[New Unit Price]]&lt;0,"Return",
IF(Invoices[[#This Row],[New Unit Price]]=0,"Free",IF(Invoices[[#This Row],[New Unit Price]]&lt;100,"Basic","Premium")))</f>
        <v>Basic</v>
      </c>
      <c r="N186">
        <f>VLOOKUP(Invoices[[#This Row],[Part  '#]],Products[],4,0)</f>
        <v>6.37</v>
      </c>
      <c r="O186" t="str">
        <f>VLOOKUP(Invoices[[#This Row],[Customer Account]],Customers[],4,0)</f>
        <v>Automotive</v>
      </c>
      <c r="P186" t="str">
        <f>VLOOKUP(Invoices[[#This Row],[Customer Account]],Customers[],3,0)</f>
        <v>Tennessee</v>
      </c>
      <c r="Q186" t="str">
        <f>VLOOKUP(Invoices[[#This Row],[Part  '#]],Products[],3,0)</f>
        <v>Consumables</v>
      </c>
      <c r="R186" s="25">
        <f>Invoices[[#This Row],[Quantity]]*Invoices[[#This Row],[Unit Cost]]</f>
        <v>254.8</v>
      </c>
      <c r="S186" s="25">
        <f>Invoices[[#This Row],[Quantity]]*Invoices[[#This Row],[New Unit Price]]</f>
        <v>1400</v>
      </c>
      <c r="T186" s="25">
        <f>Invoices[[#This Row],[Revenue]]-Invoices[[#This Row],[Cost]]</f>
        <v>1145.2</v>
      </c>
      <c r="U186" s="25" t="str">
        <f>TEXT(Invoices[[#This Row],[Date]],"MMM")</f>
        <v>Jun</v>
      </c>
      <c r="V186" s="29">
        <f>CHOOSE(MONTH(Invoices[[#This Row],[Date]]),1,1,1,2,2,2,3,3,3,4,4,4)</f>
        <v>2</v>
      </c>
      <c r="W186" s="30">
        <f>IFERROR(Invoices[[#This Row],[Profit]]/Invoices[[#This Row],[Revenue]],0)</f>
        <v>0.81800000000000006</v>
      </c>
    </row>
    <row r="187" spans="1:23" x14ac:dyDescent="0.3">
      <c r="A187" s="19" t="s">
        <v>5</v>
      </c>
      <c r="B187" s="9">
        <v>22855</v>
      </c>
      <c r="C187" s="15">
        <v>41426</v>
      </c>
      <c r="D187" s="9">
        <v>115</v>
      </c>
      <c r="E187" s="10" t="s">
        <v>83</v>
      </c>
      <c r="F187" s="8">
        <v>2</v>
      </c>
      <c r="G187" s="10"/>
      <c r="H187" s="4" t="s">
        <v>132</v>
      </c>
      <c r="I187" s="4" t="s">
        <v>49</v>
      </c>
      <c r="J187" s="4">
        <v>2</v>
      </c>
      <c r="K187" s="23">
        <v>70</v>
      </c>
      <c r="L187">
        <f>IF(Invoices[[#This Row],[Document Type]]="Return",Invoices[[#This Row],[Unit Price]]*-1,Invoices[[#This Row],[Unit Price]])</f>
        <v>70</v>
      </c>
      <c r="M187" t="str">
        <f>IF(Invoices[[#This Row],[New Unit Price]]&lt;0,"Return",
IF(Invoices[[#This Row],[New Unit Price]]=0,"Free",IF(Invoices[[#This Row],[New Unit Price]]&lt;100,"Basic","Premium")))</f>
        <v>Basic</v>
      </c>
      <c r="N187">
        <f>VLOOKUP(Invoices[[#This Row],[Part  '#]],Products[],4,0)</f>
        <v>13.92</v>
      </c>
      <c r="O187" t="str">
        <f>VLOOKUP(Invoices[[#This Row],[Customer Account]],Customers[],4,0)</f>
        <v>Automotive</v>
      </c>
      <c r="P187" t="str">
        <f>VLOOKUP(Invoices[[#This Row],[Customer Account]],Customers[],3,0)</f>
        <v>Tennessee</v>
      </c>
      <c r="Q187" t="str">
        <f>VLOOKUP(Invoices[[#This Row],[Part  '#]],Products[],3,0)</f>
        <v>Consumables</v>
      </c>
      <c r="R187" s="25">
        <f>Invoices[[#This Row],[Quantity]]*Invoices[[#This Row],[Unit Cost]]</f>
        <v>27.84</v>
      </c>
      <c r="S187" s="25">
        <f>Invoices[[#This Row],[Quantity]]*Invoices[[#This Row],[New Unit Price]]</f>
        <v>140</v>
      </c>
      <c r="T187" s="25">
        <f>Invoices[[#This Row],[Revenue]]-Invoices[[#This Row],[Cost]]</f>
        <v>112.16</v>
      </c>
      <c r="U187" s="25" t="str">
        <f>TEXT(Invoices[[#This Row],[Date]],"MMM")</f>
        <v>Jun</v>
      </c>
      <c r="V187" s="29">
        <f>CHOOSE(MONTH(Invoices[[#This Row],[Date]]),1,1,1,2,2,2,3,3,3,4,4,4)</f>
        <v>2</v>
      </c>
      <c r="W187" s="30">
        <f>IFERROR(Invoices[[#This Row],[Profit]]/Invoices[[#This Row],[Revenue]],0)</f>
        <v>0.80114285714285716</v>
      </c>
    </row>
    <row r="188" spans="1:23" x14ac:dyDescent="0.3">
      <c r="A188" s="19" t="s">
        <v>5</v>
      </c>
      <c r="B188" s="9">
        <v>22856</v>
      </c>
      <c r="C188" s="15">
        <v>41426</v>
      </c>
      <c r="D188" s="9">
        <v>116</v>
      </c>
      <c r="E188" s="10" t="s">
        <v>84</v>
      </c>
      <c r="F188" s="8">
        <v>1</v>
      </c>
      <c r="G188" s="10"/>
      <c r="H188" s="4" t="s">
        <v>125</v>
      </c>
      <c r="I188" s="4" t="s">
        <v>40</v>
      </c>
      <c r="J188" s="4">
        <v>50</v>
      </c>
      <c r="K188" s="23">
        <v>30</v>
      </c>
      <c r="L188">
        <f>IF(Invoices[[#This Row],[Document Type]]="Return",Invoices[[#This Row],[Unit Price]]*-1,Invoices[[#This Row],[Unit Price]])</f>
        <v>30</v>
      </c>
      <c r="M188" t="str">
        <f>IF(Invoices[[#This Row],[New Unit Price]]&lt;0,"Return",
IF(Invoices[[#This Row],[New Unit Price]]=0,"Free",IF(Invoices[[#This Row],[New Unit Price]]&lt;100,"Basic","Premium")))</f>
        <v>Basic</v>
      </c>
      <c r="N188">
        <f>VLOOKUP(Invoices[[#This Row],[Part  '#]],Products[],4,0)</f>
        <v>6.9</v>
      </c>
      <c r="O188" t="str">
        <f>VLOOKUP(Invoices[[#This Row],[Customer Account]],Customers[],4,0)</f>
        <v>Automotive</v>
      </c>
      <c r="P188" t="str">
        <f>VLOOKUP(Invoices[[#This Row],[Customer Account]],Customers[],3,0)</f>
        <v>Tennessee</v>
      </c>
      <c r="Q188" t="str">
        <f>VLOOKUP(Invoices[[#This Row],[Part  '#]],Products[],3,0)</f>
        <v>Consumables</v>
      </c>
      <c r="R188" s="25">
        <f>Invoices[[#This Row],[Quantity]]*Invoices[[#This Row],[Unit Cost]]</f>
        <v>345</v>
      </c>
      <c r="S188" s="25">
        <f>Invoices[[#This Row],[Quantity]]*Invoices[[#This Row],[New Unit Price]]</f>
        <v>1500</v>
      </c>
      <c r="T188" s="25">
        <f>Invoices[[#This Row],[Revenue]]-Invoices[[#This Row],[Cost]]</f>
        <v>1155</v>
      </c>
      <c r="U188" s="25" t="str">
        <f>TEXT(Invoices[[#This Row],[Date]],"MMM")</f>
        <v>Jun</v>
      </c>
      <c r="V188" s="29">
        <f>CHOOSE(MONTH(Invoices[[#This Row],[Date]]),1,1,1,2,2,2,3,3,3,4,4,4)</f>
        <v>2</v>
      </c>
      <c r="W188" s="30">
        <f>IFERROR(Invoices[[#This Row],[Profit]]/Invoices[[#This Row],[Revenue]],0)</f>
        <v>0.77</v>
      </c>
    </row>
    <row r="189" spans="1:23" x14ac:dyDescent="0.3">
      <c r="A189" s="19" t="s">
        <v>5</v>
      </c>
      <c r="B189" s="9">
        <v>22856</v>
      </c>
      <c r="C189" s="15">
        <v>41426</v>
      </c>
      <c r="D189" s="9">
        <v>116</v>
      </c>
      <c r="E189" s="10" t="s">
        <v>84</v>
      </c>
      <c r="F189" s="8">
        <v>2</v>
      </c>
      <c r="G189" s="10"/>
      <c r="H189" s="4" t="s">
        <v>132</v>
      </c>
      <c r="I189" s="4" t="s">
        <v>49</v>
      </c>
      <c r="J189" s="4">
        <v>20</v>
      </c>
      <c r="K189" s="23">
        <v>70</v>
      </c>
      <c r="L189">
        <f>IF(Invoices[[#This Row],[Document Type]]="Return",Invoices[[#This Row],[Unit Price]]*-1,Invoices[[#This Row],[Unit Price]])</f>
        <v>70</v>
      </c>
      <c r="M189" t="str">
        <f>IF(Invoices[[#This Row],[New Unit Price]]&lt;0,"Return",
IF(Invoices[[#This Row],[New Unit Price]]=0,"Free",IF(Invoices[[#This Row],[New Unit Price]]&lt;100,"Basic","Premium")))</f>
        <v>Basic</v>
      </c>
      <c r="N189">
        <f>VLOOKUP(Invoices[[#This Row],[Part  '#]],Products[],4,0)</f>
        <v>13.92</v>
      </c>
      <c r="O189" t="str">
        <f>VLOOKUP(Invoices[[#This Row],[Customer Account]],Customers[],4,0)</f>
        <v>Automotive</v>
      </c>
      <c r="P189" t="str">
        <f>VLOOKUP(Invoices[[#This Row],[Customer Account]],Customers[],3,0)</f>
        <v>Tennessee</v>
      </c>
      <c r="Q189" t="str">
        <f>VLOOKUP(Invoices[[#This Row],[Part  '#]],Products[],3,0)</f>
        <v>Consumables</v>
      </c>
      <c r="R189" s="25">
        <f>Invoices[[#This Row],[Quantity]]*Invoices[[#This Row],[Unit Cost]]</f>
        <v>278.39999999999998</v>
      </c>
      <c r="S189" s="25">
        <f>Invoices[[#This Row],[Quantity]]*Invoices[[#This Row],[New Unit Price]]</f>
        <v>1400</v>
      </c>
      <c r="T189" s="25">
        <f>Invoices[[#This Row],[Revenue]]-Invoices[[#This Row],[Cost]]</f>
        <v>1121.5999999999999</v>
      </c>
      <c r="U189" s="25" t="str">
        <f>TEXT(Invoices[[#This Row],[Date]],"MMM")</f>
        <v>Jun</v>
      </c>
      <c r="V189" s="29">
        <f>CHOOSE(MONTH(Invoices[[#This Row],[Date]]),1,1,1,2,2,2,3,3,3,4,4,4)</f>
        <v>2</v>
      </c>
      <c r="W189" s="30">
        <f>IFERROR(Invoices[[#This Row],[Profit]]/Invoices[[#This Row],[Revenue]],0)</f>
        <v>0.80114285714285705</v>
      </c>
    </row>
    <row r="190" spans="1:23" x14ac:dyDescent="0.3">
      <c r="A190" s="19" t="s">
        <v>5</v>
      </c>
      <c r="B190" s="9">
        <v>22857</v>
      </c>
      <c r="C190" s="15">
        <v>41426</v>
      </c>
      <c r="D190" s="9">
        <v>117</v>
      </c>
      <c r="E190" s="10" t="s">
        <v>85</v>
      </c>
      <c r="F190" s="8">
        <v>1</v>
      </c>
      <c r="G190" s="10"/>
      <c r="H190" s="4" t="s">
        <v>132</v>
      </c>
      <c r="I190" s="4" t="s">
        <v>49</v>
      </c>
      <c r="J190" s="4">
        <v>10</v>
      </c>
      <c r="K190" s="23">
        <v>70</v>
      </c>
      <c r="L190">
        <f>IF(Invoices[[#This Row],[Document Type]]="Return",Invoices[[#This Row],[Unit Price]]*-1,Invoices[[#This Row],[Unit Price]])</f>
        <v>70</v>
      </c>
      <c r="M190" t="str">
        <f>IF(Invoices[[#This Row],[New Unit Price]]&lt;0,"Return",
IF(Invoices[[#This Row],[New Unit Price]]=0,"Free",IF(Invoices[[#This Row],[New Unit Price]]&lt;100,"Basic","Premium")))</f>
        <v>Basic</v>
      </c>
      <c r="N190">
        <f>VLOOKUP(Invoices[[#This Row],[Part  '#]],Products[],4,0)</f>
        <v>13.92</v>
      </c>
      <c r="O190" t="str">
        <f>VLOOKUP(Invoices[[#This Row],[Customer Account]],Customers[],4,0)</f>
        <v>Automotive</v>
      </c>
      <c r="P190" t="str">
        <f>VLOOKUP(Invoices[[#This Row],[Customer Account]],Customers[],3,0)</f>
        <v>Georgia</v>
      </c>
      <c r="Q190" t="str">
        <f>VLOOKUP(Invoices[[#This Row],[Part  '#]],Products[],3,0)</f>
        <v>Consumables</v>
      </c>
      <c r="R190" s="25">
        <f>Invoices[[#This Row],[Quantity]]*Invoices[[#This Row],[Unit Cost]]</f>
        <v>139.19999999999999</v>
      </c>
      <c r="S190" s="25">
        <f>Invoices[[#This Row],[Quantity]]*Invoices[[#This Row],[New Unit Price]]</f>
        <v>700</v>
      </c>
      <c r="T190" s="25">
        <f>Invoices[[#This Row],[Revenue]]-Invoices[[#This Row],[Cost]]</f>
        <v>560.79999999999995</v>
      </c>
      <c r="U190" s="25" t="str">
        <f>TEXT(Invoices[[#This Row],[Date]],"MMM")</f>
        <v>Jun</v>
      </c>
      <c r="V190" s="29">
        <f>CHOOSE(MONTH(Invoices[[#This Row],[Date]]),1,1,1,2,2,2,3,3,3,4,4,4)</f>
        <v>2</v>
      </c>
      <c r="W190" s="30">
        <f>IFERROR(Invoices[[#This Row],[Profit]]/Invoices[[#This Row],[Revenue]],0)</f>
        <v>0.80114285714285705</v>
      </c>
    </row>
    <row r="191" spans="1:23" x14ac:dyDescent="0.3">
      <c r="A191" s="19" t="s">
        <v>5</v>
      </c>
      <c r="B191" s="9">
        <v>22857</v>
      </c>
      <c r="C191" s="15">
        <v>41426</v>
      </c>
      <c r="D191" s="9">
        <v>117</v>
      </c>
      <c r="E191" s="10" t="s">
        <v>85</v>
      </c>
      <c r="F191" s="8">
        <v>2</v>
      </c>
      <c r="G191" s="10"/>
      <c r="H191" s="4" t="s">
        <v>125</v>
      </c>
      <c r="I191" s="4" t="s">
        <v>40</v>
      </c>
      <c r="J191" s="4">
        <v>10</v>
      </c>
      <c r="K191" s="23">
        <v>30</v>
      </c>
      <c r="L191">
        <f>IF(Invoices[[#This Row],[Document Type]]="Return",Invoices[[#This Row],[Unit Price]]*-1,Invoices[[#This Row],[Unit Price]])</f>
        <v>30</v>
      </c>
      <c r="M191" t="str">
        <f>IF(Invoices[[#This Row],[New Unit Price]]&lt;0,"Return",
IF(Invoices[[#This Row],[New Unit Price]]=0,"Free",IF(Invoices[[#This Row],[New Unit Price]]&lt;100,"Basic","Premium")))</f>
        <v>Basic</v>
      </c>
      <c r="N191">
        <f>VLOOKUP(Invoices[[#This Row],[Part  '#]],Products[],4,0)</f>
        <v>6.9</v>
      </c>
      <c r="O191" t="str">
        <f>VLOOKUP(Invoices[[#This Row],[Customer Account]],Customers[],4,0)</f>
        <v>Automotive</v>
      </c>
      <c r="P191" t="str">
        <f>VLOOKUP(Invoices[[#This Row],[Customer Account]],Customers[],3,0)</f>
        <v>Georgia</v>
      </c>
      <c r="Q191" t="str">
        <f>VLOOKUP(Invoices[[#This Row],[Part  '#]],Products[],3,0)</f>
        <v>Consumables</v>
      </c>
      <c r="R191" s="25">
        <f>Invoices[[#This Row],[Quantity]]*Invoices[[#This Row],[Unit Cost]]</f>
        <v>69</v>
      </c>
      <c r="S191" s="25">
        <f>Invoices[[#This Row],[Quantity]]*Invoices[[#This Row],[New Unit Price]]</f>
        <v>300</v>
      </c>
      <c r="T191" s="25">
        <f>Invoices[[#This Row],[Revenue]]-Invoices[[#This Row],[Cost]]</f>
        <v>231</v>
      </c>
      <c r="U191" s="25" t="str">
        <f>TEXT(Invoices[[#This Row],[Date]],"MMM")</f>
        <v>Jun</v>
      </c>
      <c r="V191" s="29">
        <f>CHOOSE(MONTH(Invoices[[#This Row],[Date]]),1,1,1,2,2,2,3,3,3,4,4,4)</f>
        <v>2</v>
      </c>
      <c r="W191" s="30">
        <f>IFERROR(Invoices[[#This Row],[Profit]]/Invoices[[#This Row],[Revenue]],0)</f>
        <v>0.77</v>
      </c>
    </row>
    <row r="192" spans="1:23" x14ac:dyDescent="0.3">
      <c r="A192" s="19" t="s">
        <v>5</v>
      </c>
      <c r="B192" s="9">
        <v>22858</v>
      </c>
      <c r="C192" s="15">
        <v>41426</v>
      </c>
      <c r="D192" s="9">
        <v>118</v>
      </c>
      <c r="E192" s="10" t="s">
        <v>86</v>
      </c>
      <c r="F192" s="8">
        <v>1</v>
      </c>
      <c r="G192" s="10"/>
      <c r="H192" s="4" t="s">
        <v>92</v>
      </c>
      <c r="I192" s="4" t="s">
        <v>10</v>
      </c>
      <c r="J192" s="4">
        <v>8</v>
      </c>
      <c r="K192" s="23">
        <v>1500</v>
      </c>
      <c r="L192">
        <f>IF(Invoices[[#This Row],[Document Type]]="Return",Invoices[[#This Row],[Unit Price]]*-1,Invoices[[#This Row],[Unit Price]])</f>
        <v>1500</v>
      </c>
      <c r="M192" t="str">
        <f>IF(Invoices[[#This Row],[New Unit Price]]&lt;0,"Return",
IF(Invoices[[#This Row],[New Unit Price]]=0,"Free",IF(Invoices[[#This Row],[New Unit Price]]&lt;100,"Basic","Premium")))</f>
        <v>Premium</v>
      </c>
      <c r="N192">
        <f>VLOOKUP(Invoices[[#This Row],[Part  '#]],Products[],4,0)</f>
        <v>899.1</v>
      </c>
      <c r="O192" t="str">
        <f>VLOOKUP(Invoices[[#This Row],[Customer Account]],Customers[],4,0)</f>
        <v>Financial</v>
      </c>
      <c r="P192" t="str">
        <f>VLOOKUP(Invoices[[#This Row],[Customer Account]],Customers[],3,0)</f>
        <v>Georgia</v>
      </c>
      <c r="Q192" t="str">
        <f>VLOOKUP(Invoices[[#This Row],[Part  '#]],Products[],3,0)</f>
        <v>Product</v>
      </c>
      <c r="R192" s="25">
        <f>Invoices[[#This Row],[Quantity]]*Invoices[[#This Row],[Unit Cost]]</f>
        <v>7192.8</v>
      </c>
      <c r="S192" s="25">
        <f>Invoices[[#This Row],[Quantity]]*Invoices[[#This Row],[New Unit Price]]</f>
        <v>12000</v>
      </c>
      <c r="T192" s="25">
        <f>Invoices[[#This Row],[Revenue]]-Invoices[[#This Row],[Cost]]</f>
        <v>4807.2</v>
      </c>
      <c r="U192" s="25" t="str">
        <f>TEXT(Invoices[[#This Row],[Date]],"MMM")</f>
        <v>Jun</v>
      </c>
      <c r="V192" s="29">
        <f>CHOOSE(MONTH(Invoices[[#This Row],[Date]]),1,1,1,2,2,2,3,3,3,4,4,4)</f>
        <v>2</v>
      </c>
      <c r="W192" s="30">
        <f>IFERROR(Invoices[[#This Row],[Profit]]/Invoices[[#This Row],[Revenue]],0)</f>
        <v>0.40060000000000001</v>
      </c>
    </row>
    <row r="193" spans="1:23" x14ac:dyDescent="0.3">
      <c r="A193" s="19" t="s">
        <v>5</v>
      </c>
      <c r="B193" s="9">
        <v>22858</v>
      </c>
      <c r="C193" s="15">
        <v>41426</v>
      </c>
      <c r="D193" s="9">
        <v>118</v>
      </c>
      <c r="E193" s="10" t="s">
        <v>86</v>
      </c>
      <c r="F193" s="8">
        <v>2</v>
      </c>
      <c r="G193" s="10"/>
      <c r="H193" s="4" t="s">
        <v>109</v>
      </c>
      <c r="I193" s="4" t="s">
        <v>24</v>
      </c>
      <c r="J193" s="4">
        <v>8</v>
      </c>
      <c r="K193" s="23">
        <v>0</v>
      </c>
      <c r="L193">
        <f>IF(Invoices[[#This Row],[Document Type]]="Return",Invoices[[#This Row],[Unit Price]]*-1,Invoices[[#This Row],[Unit Price]])</f>
        <v>0</v>
      </c>
      <c r="M193" t="str">
        <f>IF(Invoices[[#This Row],[New Unit Price]]&lt;0,"Return",
IF(Invoices[[#This Row],[New Unit Price]]=0,"Free",IF(Invoices[[#This Row],[New Unit Price]]&lt;100,"Basic","Premium")))</f>
        <v>Free</v>
      </c>
      <c r="N193">
        <f>VLOOKUP(Invoices[[#This Row],[Part  '#]],Products[],4,0)</f>
        <v>12.17</v>
      </c>
      <c r="O193" t="str">
        <f>VLOOKUP(Invoices[[#This Row],[Customer Account]],Customers[],4,0)</f>
        <v>Financial</v>
      </c>
      <c r="P193" t="str">
        <f>VLOOKUP(Invoices[[#This Row],[Customer Account]],Customers[],3,0)</f>
        <v>Georgia</v>
      </c>
      <c r="Q193" t="str">
        <f>VLOOKUP(Invoices[[#This Row],[Part  '#]],Products[],3,0)</f>
        <v>Accessories</v>
      </c>
      <c r="R193" s="25">
        <f>Invoices[[#This Row],[Quantity]]*Invoices[[#This Row],[Unit Cost]]</f>
        <v>97.36</v>
      </c>
      <c r="S193" s="25">
        <f>Invoices[[#This Row],[Quantity]]*Invoices[[#This Row],[New Unit Price]]</f>
        <v>0</v>
      </c>
      <c r="T193" s="25">
        <f>Invoices[[#This Row],[Revenue]]-Invoices[[#This Row],[Cost]]</f>
        <v>-97.36</v>
      </c>
      <c r="U193" s="25" t="str">
        <f>TEXT(Invoices[[#This Row],[Date]],"MMM")</f>
        <v>Jun</v>
      </c>
      <c r="V193" s="29">
        <f>CHOOSE(MONTH(Invoices[[#This Row],[Date]]),1,1,1,2,2,2,3,3,3,4,4,4)</f>
        <v>2</v>
      </c>
      <c r="W193" s="30">
        <f>IFERROR(Invoices[[#This Row],[Profit]]/Invoices[[#This Row],[Revenue]],0)</f>
        <v>0</v>
      </c>
    </row>
    <row r="194" spans="1:23" x14ac:dyDescent="0.3">
      <c r="A194" s="19" t="s">
        <v>5</v>
      </c>
      <c r="B194" s="9">
        <v>22858</v>
      </c>
      <c r="C194" s="15">
        <v>41426</v>
      </c>
      <c r="D194" s="9">
        <v>118</v>
      </c>
      <c r="E194" s="10" t="s">
        <v>86</v>
      </c>
      <c r="F194" s="8">
        <v>3</v>
      </c>
      <c r="G194" s="10"/>
      <c r="H194" s="4" t="s">
        <v>116</v>
      </c>
      <c r="I194" s="4" t="s">
        <v>32</v>
      </c>
      <c r="J194" s="4">
        <v>8</v>
      </c>
      <c r="K194" s="23">
        <v>0</v>
      </c>
      <c r="L194">
        <f>IF(Invoices[[#This Row],[Document Type]]="Return",Invoices[[#This Row],[Unit Price]]*-1,Invoices[[#This Row],[Unit Price]])</f>
        <v>0</v>
      </c>
      <c r="M194" t="str">
        <f>IF(Invoices[[#This Row],[New Unit Price]]&lt;0,"Return",
IF(Invoices[[#This Row],[New Unit Price]]=0,"Free",IF(Invoices[[#This Row],[New Unit Price]]&lt;100,"Basic","Premium")))</f>
        <v>Free</v>
      </c>
      <c r="N194">
        <f>VLOOKUP(Invoices[[#This Row],[Part  '#]],Products[],4,0)</f>
        <v>8.15</v>
      </c>
      <c r="O194" t="str">
        <f>VLOOKUP(Invoices[[#This Row],[Customer Account]],Customers[],4,0)</f>
        <v>Financial</v>
      </c>
      <c r="P194" t="str">
        <f>VLOOKUP(Invoices[[#This Row],[Customer Account]],Customers[],3,0)</f>
        <v>Georgia</v>
      </c>
      <c r="Q194" t="str">
        <f>VLOOKUP(Invoices[[#This Row],[Part  '#]],Products[],3,0)</f>
        <v>Accessories</v>
      </c>
      <c r="R194" s="25">
        <f>Invoices[[#This Row],[Quantity]]*Invoices[[#This Row],[Unit Cost]]</f>
        <v>65.2</v>
      </c>
      <c r="S194" s="25">
        <f>Invoices[[#This Row],[Quantity]]*Invoices[[#This Row],[New Unit Price]]</f>
        <v>0</v>
      </c>
      <c r="T194" s="25">
        <f>Invoices[[#This Row],[Revenue]]-Invoices[[#This Row],[Cost]]</f>
        <v>-65.2</v>
      </c>
      <c r="U194" s="25" t="str">
        <f>TEXT(Invoices[[#This Row],[Date]],"MMM")</f>
        <v>Jun</v>
      </c>
      <c r="V194" s="29">
        <f>CHOOSE(MONTH(Invoices[[#This Row],[Date]]),1,1,1,2,2,2,3,3,3,4,4,4)</f>
        <v>2</v>
      </c>
      <c r="W194" s="30">
        <f>IFERROR(Invoices[[#This Row],[Profit]]/Invoices[[#This Row],[Revenue]],0)</f>
        <v>0</v>
      </c>
    </row>
    <row r="195" spans="1:23" x14ac:dyDescent="0.3">
      <c r="A195" s="19" t="s">
        <v>5</v>
      </c>
      <c r="B195" s="9">
        <v>22858</v>
      </c>
      <c r="C195" s="15">
        <v>41426</v>
      </c>
      <c r="D195" s="9">
        <v>118</v>
      </c>
      <c r="E195" s="10" t="s">
        <v>86</v>
      </c>
      <c r="F195" s="8">
        <v>4</v>
      </c>
      <c r="G195" s="10"/>
      <c r="H195" s="4" t="s">
        <v>118</v>
      </c>
      <c r="I195" s="4" t="s">
        <v>42</v>
      </c>
      <c r="J195" s="4">
        <v>8</v>
      </c>
      <c r="K195" s="23">
        <v>0</v>
      </c>
      <c r="L195">
        <f>IF(Invoices[[#This Row],[Document Type]]="Return",Invoices[[#This Row],[Unit Price]]*-1,Invoices[[#This Row],[Unit Price]])</f>
        <v>0</v>
      </c>
      <c r="M195" t="str">
        <f>IF(Invoices[[#This Row],[New Unit Price]]&lt;0,"Return",
IF(Invoices[[#This Row],[New Unit Price]]=0,"Free",IF(Invoices[[#This Row],[New Unit Price]]&lt;100,"Basic","Premium")))</f>
        <v>Free</v>
      </c>
      <c r="N195">
        <f>VLOOKUP(Invoices[[#This Row],[Part  '#]],Products[],4,0)</f>
        <v>12.33</v>
      </c>
      <c r="O195" t="str">
        <f>VLOOKUP(Invoices[[#This Row],[Customer Account]],Customers[],4,0)</f>
        <v>Financial</v>
      </c>
      <c r="P195" t="str">
        <f>VLOOKUP(Invoices[[#This Row],[Customer Account]],Customers[],3,0)</f>
        <v>Georgia</v>
      </c>
      <c r="Q195" t="str">
        <f>VLOOKUP(Invoices[[#This Row],[Part  '#]],Products[],3,0)</f>
        <v>Accessories</v>
      </c>
      <c r="R195" s="25">
        <f>Invoices[[#This Row],[Quantity]]*Invoices[[#This Row],[Unit Cost]]</f>
        <v>98.64</v>
      </c>
      <c r="S195" s="25">
        <f>Invoices[[#This Row],[Quantity]]*Invoices[[#This Row],[New Unit Price]]</f>
        <v>0</v>
      </c>
      <c r="T195" s="25">
        <f>Invoices[[#This Row],[Revenue]]-Invoices[[#This Row],[Cost]]</f>
        <v>-98.64</v>
      </c>
      <c r="U195" s="25" t="str">
        <f>TEXT(Invoices[[#This Row],[Date]],"MMM")</f>
        <v>Jun</v>
      </c>
      <c r="V195" s="29">
        <f>CHOOSE(MONTH(Invoices[[#This Row],[Date]]),1,1,1,2,2,2,3,3,3,4,4,4)</f>
        <v>2</v>
      </c>
      <c r="W195" s="30">
        <f>IFERROR(Invoices[[#This Row],[Profit]]/Invoices[[#This Row],[Revenue]],0)</f>
        <v>0</v>
      </c>
    </row>
    <row r="196" spans="1:23" x14ac:dyDescent="0.3">
      <c r="A196" s="19" t="s">
        <v>5</v>
      </c>
      <c r="B196" s="9">
        <v>22858</v>
      </c>
      <c r="C196" s="15">
        <v>41426</v>
      </c>
      <c r="D196" s="9">
        <v>118</v>
      </c>
      <c r="E196" s="10" t="s">
        <v>86</v>
      </c>
      <c r="F196" s="8">
        <v>5</v>
      </c>
      <c r="G196" s="10"/>
      <c r="H196" s="4" t="s">
        <v>123</v>
      </c>
      <c r="I196" s="4" t="s">
        <v>38</v>
      </c>
      <c r="J196" s="4">
        <v>8</v>
      </c>
      <c r="K196" s="23">
        <v>20</v>
      </c>
      <c r="L196">
        <f>IF(Invoices[[#This Row],[Document Type]]="Return",Invoices[[#This Row],[Unit Price]]*-1,Invoices[[#This Row],[Unit Price]])</f>
        <v>20</v>
      </c>
      <c r="M196" t="str">
        <f>IF(Invoices[[#This Row],[New Unit Price]]&lt;0,"Return",
IF(Invoices[[#This Row],[New Unit Price]]=0,"Free",IF(Invoices[[#This Row],[New Unit Price]]&lt;100,"Basic","Premium")))</f>
        <v>Basic</v>
      </c>
      <c r="N196">
        <f>VLOOKUP(Invoices[[#This Row],[Part  '#]],Products[],4,0)</f>
        <v>4.58</v>
      </c>
      <c r="O196" t="str">
        <f>VLOOKUP(Invoices[[#This Row],[Customer Account]],Customers[],4,0)</f>
        <v>Financial</v>
      </c>
      <c r="P196" t="str">
        <f>VLOOKUP(Invoices[[#This Row],[Customer Account]],Customers[],3,0)</f>
        <v>Georgia</v>
      </c>
      <c r="Q196" t="str">
        <f>VLOOKUP(Invoices[[#This Row],[Part  '#]],Products[],3,0)</f>
        <v>Consumables</v>
      </c>
      <c r="R196" s="25">
        <f>Invoices[[#This Row],[Quantity]]*Invoices[[#This Row],[Unit Cost]]</f>
        <v>36.64</v>
      </c>
      <c r="S196" s="25">
        <f>Invoices[[#This Row],[Quantity]]*Invoices[[#This Row],[New Unit Price]]</f>
        <v>160</v>
      </c>
      <c r="T196" s="25">
        <f>Invoices[[#This Row],[Revenue]]-Invoices[[#This Row],[Cost]]</f>
        <v>123.36</v>
      </c>
      <c r="U196" s="25" t="str">
        <f>TEXT(Invoices[[#This Row],[Date]],"MMM")</f>
        <v>Jun</v>
      </c>
      <c r="V196" s="29">
        <f>CHOOSE(MONTH(Invoices[[#This Row],[Date]]),1,1,1,2,2,2,3,3,3,4,4,4)</f>
        <v>2</v>
      </c>
      <c r="W196" s="30">
        <f>IFERROR(Invoices[[#This Row],[Profit]]/Invoices[[#This Row],[Revenue]],0)</f>
        <v>0.77100000000000002</v>
      </c>
    </row>
    <row r="197" spans="1:23" x14ac:dyDescent="0.3">
      <c r="A197" s="19" t="s">
        <v>5</v>
      </c>
      <c r="B197" s="9">
        <v>22858</v>
      </c>
      <c r="C197" s="15">
        <v>41426</v>
      </c>
      <c r="D197" s="9">
        <v>118</v>
      </c>
      <c r="E197" s="10" t="s">
        <v>86</v>
      </c>
      <c r="F197" s="8">
        <v>6</v>
      </c>
      <c r="G197" s="10"/>
      <c r="H197" s="4" t="s">
        <v>120</v>
      </c>
      <c r="I197" s="4" t="s">
        <v>54</v>
      </c>
      <c r="J197" s="4">
        <v>1</v>
      </c>
      <c r="K197" s="23">
        <v>0</v>
      </c>
      <c r="L197">
        <f>IF(Invoices[[#This Row],[Document Type]]="Return",Invoices[[#This Row],[Unit Price]]*-1,Invoices[[#This Row],[Unit Price]])</f>
        <v>0</v>
      </c>
      <c r="M197" t="str">
        <f>IF(Invoices[[#This Row],[New Unit Price]]&lt;0,"Return",
IF(Invoices[[#This Row],[New Unit Price]]=0,"Free",IF(Invoices[[#This Row],[New Unit Price]]&lt;100,"Basic","Premium")))</f>
        <v>Free</v>
      </c>
      <c r="N197">
        <f>VLOOKUP(Invoices[[#This Row],[Part  '#]],Products[],4,0)</f>
        <v>89.7</v>
      </c>
      <c r="O197" t="str">
        <f>VLOOKUP(Invoices[[#This Row],[Customer Account]],Customers[],4,0)</f>
        <v>Financial</v>
      </c>
      <c r="P197" t="str">
        <f>VLOOKUP(Invoices[[#This Row],[Customer Account]],Customers[],3,0)</f>
        <v>Georgia</v>
      </c>
      <c r="Q197" t="str">
        <f>VLOOKUP(Invoices[[#This Row],[Part  '#]],Products[],3,0)</f>
        <v>Accessories</v>
      </c>
      <c r="R197" s="25">
        <f>Invoices[[#This Row],[Quantity]]*Invoices[[#This Row],[Unit Cost]]</f>
        <v>89.7</v>
      </c>
      <c r="S197" s="25">
        <f>Invoices[[#This Row],[Quantity]]*Invoices[[#This Row],[New Unit Price]]</f>
        <v>0</v>
      </c>
      <c r="T197" s="25">
        <f>Invoices[[#This Row],[Revenue]]-Invoices[[#This Row],[Cost]]</f>
        <v>-89.7</v>
      </c>
      <c r="U197" s="25" t="str">
        <f>TEXT(Invoices[[#This Row],[Date]],"MMM")</f>
        <v>Jun</v>
      </c>
      <c r="V197" s="29">
        <f>CHOOSE(MONTH(Invoices[[#This Row],[Date]]),1,1,1,2,2,2,3,3,3,4,4,4)</f>
        <v>2</v>
      </c>
      <c r="W197" s="30">
        <f>IFERROR(Invoices[[#This Row],[Profit]]/Invoices[[#This Row],[Revenue]],0)</f>
        <v>0</v>
      </c>
    </row>
    <row r="198" spans="1:23" x14ac:dyDescent="0.3">
      <c r="A198" s="19" t="s">
        <v>5</v>
      </c>
      <c r="B198" s="9">
        <v>22858</v>
      </c>
      <c r="C198" s="15">
        <v>41426</v>
      </c>
      <c r="D198" s="9">
        <v>118</v>
      </c>
      <c r="E198" s="10" t="s">
        <v>86</v>
      </c>
      <c r="F198" s="8">
        <v>7</v>
      </c>
      <c r="G198" s="10"/>
      <c r="H198" s="4" t="s">
        <v>132</v>
      </c>
      <c r="I198" s="4" t="s">
        <v>49</v>
      </c>
      <c r="J198" s="4">
        <v>10</v>
      </c>
      <c r="K198" s="23">
        <v>70</v>
      </c>
      <c r="L198">
        <f>IF(Invoices[[#This Row],[Document Type]]="Return",Invoices[[#This Row],[Unit Price]]*-1,Invoices[[#This Row],[Unit Price]])</f>
        <v>70</v>
      </c>
      <c r="M198" t="str">
        <f>IF(Invoices[[#This Row],[New Unit Price]]&lt;0,"Return",
IF(Invoices[[#This Row],[New Unit Price]]=0,"Free",IF(Invoices[[#This Row],[New Unit Price]]&lt;100,"Basic","Premium")))</f>
        <v>Basic</v>
      </c>
      <c r="N198">
        <f>VLOOKUP(Invoices[[#This Row],[Part  '#]],Products[],4,0)</f>
        <v>13.92</v>
      </c>
      <c r="O198" t="str">
        <f>VLOOKUP(Invoices[[#This Row],[Customer Account]],Customers[],4,0)</f>
        <v>Financial</v>
      </c>
      <c r="P198" t="str">
        <f>VLOOKUP(Invoices[[#This Row],[Customer Account]],Customers[],3,0)</f>
        <v>Georgia</v>
      </c>
      <c r="Q198" t="str">
        <f>VLOOKUP(Invoices[[#This Row],[Part  '#]],Products[],3,0)</f>
        <v>Consumables</v>
      </c>
      <c r="R198" s="25">
        <f>Invoices[[#This Row],[Quantity]]*Invoices[[#This Row],[Unit Cost]]</f>
        <v>139.19999999999999</v>
      </c>
      <c r="S198" s="25">
        <f>Invoices[[#This Row],[Quantity]]*Invoices[[#This Row],[New Unit Price]]</f>
        <v>700</v>
      </c>
      <c r="T198" s="25">
        <f>Invoices[[#This Row],[Revenue]]-Invoices[[#This Row],[Cost]]</f>
        <v>560.79999999999995</v>
      </c>
      <c r="U198" s="25" t="str">
        <f>TEXT(Invoices[[#This Row],[Date]],"MMM")</f>
        <v>Jun</v>
      </c>
      <c r="V198" s="29">
        <f>CHOOSE(MONTH(Invoices[[#This Row],[Date]]),1,1,1,2,2,2,3,3,3,4,4,4)</f>
        <v>2</v>
      </c>
      <c r="W198" s="30">
        <f>IFERROR(Invoices[[#This Row],[Profit]]/Invoices[[#This Row],[Revenue]],0)</f>
        <v>0.80114285714285705</v>
      </c>
    </row>
    <row r="199" spans="1:23" x14ac:dyDescent="0.3">
      <c r="A199" s="19" t="s">
        <v>5</v>
      </c>
      <c r="B199" s="9">
        <v>22858</v>
      </c>
      <c r="C199" s="15">
        <v>41426</v>
      </c>
      <c r="D199" s="9">
        <v>118</v>
      </c>
      <c r="E199" s="10" t="s">
        <v>86</v>
      </c>
      <c r="F199" s="8">
        <v>8</v>
      </c>
      <c r="G199" s="10"/>
      <c r="H199" s="4" t="s">
        <v>125</v>
      </c>
      <c r="I199" s="4" t="s">
        <v>40</v>
      </c>
      <c r="J199" s="4">
        <v>20</v>
      </c>
      <c r="K199" s="23">
        <v>30</v>
      </c>
      <c r="L199">
        <f>IF(Invoices[[#This Row],[Document Type]]="Return",Invoices[[#This Row],[Unit Price]]*-1,Invoices[[#This Row],[Unit Price]])</f>
        <v>30</v>
      </c>
      <c r="M199" t="str">
        <f>IF(Invoices[[#This Row],[New Unit Price]]&lt;0,"Return",
IF(Invoices[[#This Row],[New Unit Price]]=0,"Free",IF(Invoices[[#This Row],[New Unit Price]]&lt;100,"Basic","Premium")))</f>
        <v>Basic</v>
      </c>
      <c r="N199">
        <f>VLOOKUP(Invoices[[#This Row],[Part  '#]],Products[],4,0)</f>
        <v>6.9</v>
      </c>
      <c r="O199" t="str">
        <f>VLOOKUP(Invoices[[#This Row],[Customer Account]],Customers[],4,0)</f>
        <v>Financial</v>
      </c>
      <c r="P199" t="str">
        <f>VLOOKUP(Invoices[[#This Row],[Customer Account]],Customers[],3,0)</f>
        <v>Georgia</v>
      </c>
      <c r="Q199" t="str">
        <f>VLOOKUP(Invoices[[#This Row],[Part  '#]],Products[],3,0)</f>
        <v>Consumables</v>
      </c>
      <c r="R199" s="25">
        <f>Invoices[[#This Row],[Quantity]]*Invoices[[#This Row],[Unit Cost]]</f>
        <v>138</v>
      </c>
      <c r="S199" s="25">
        <f>Invoices[[#This Row],[Quantity]]*Invoices[[#This Row],[New Unit Price]]</f>
        <v>600</v>
      </c>
      <c r="T199" s="25">
        <f>Invoices[[#This Row],[Revenue]]-Invoices[[#This Row],[Cost]]</f>
        <v>462</v>
      </c>
      <c r="U199" s="25" t="str">
        <f>TEXT(Invoices[[#This Row],[Date]],"MMM")</f>
        <v>Jun</v>
      </c>
      <c r="V199" s="29">
        <f>CHOOSE(MONTH(Invoices[[#This Row],[Date]]),1,1,1,2,2,2,3,3,3,4,4,4)</f>
        <v>2</v>
      </c>
      <c r="W199" s="30">
        <f>IFERROR(Invoices[[#This Row],[Profit]]/Invoices[[#This Row],[Revenue]],0)</f>
        <v>0.77</v>
      </c>
    </row>
    <row r="200" spans="1:23" x14ac:dyDescent="0.3">
      <c r="A200" s="19" t="s">
        <v>5</v>
      </c>
      <c r="B200" s="9">
        <v>22859</v>
      </c>
      <c r="C200" s="15">
        <v>41429</v>
      </c>
      <c r="D200" s="9">
        <v>109</v>
      </c>
      <c r="E200" s="10" t="s">
        <v>74</v>
      </c>
      <c r="F200" s="8">
        <v>1</v>
      </c>
      <c r="G200" s="10"/>
      <c r="H200" s="4" t="s">
        <v>120</v>
      </c>
      <c r="I200" s="4" t="s">
        <v>54</v>
      </c>
      <c r="J200" s="4">
        <v>1</v>
      </c>
      <c r="K200" s="23">
        <v>250</v>
      </c>
      <c r="L200">
        <f>IF(Invoices[[#This Row],[Document Type]]="Return",Invoices[[#This Row],[Unit Price]]*-1,Invoices[[#This Row],[Unit Price]])</f>
        <v>250</v>
      </c>
      <c r="M200" t="str">
        <f>IF(Invoices[[#This Row],[New Unit Price]]&lt;0,"Return",
IF(Invoices[[#This Row],[New Unit Price]]=0,"Free",IF(Invoices[[#This Row],[New Unit Price]]&lt;100,"Basic","Premium")))</f>
        <v>Premium</v>
      </c>
      <c r="N200">
        <f>VLOOKUP(Invoices[[#This Row],[Part  '#]],Products[],4,0)</f>
        <v>89.7</v>
      </c>
      <c r="O200" t="str">
        <f>VLOOKUP(Invoices[[#This Row],[Customer Account]],Customers[],4,0)</f>
        <v>Financial</v>
      </c>
      <c r="P200" t="str">
        <f>VLOOKUP(Invoices[[#This Row],[Customer Account]],Customers[],3,0)</f>
        <v>Georgia</v>
      </c>
      <c r="Q200" t="str">
        <f>VLOOKUP(Invoices[[#This Row],[Part  '#]],Products[],3,0)</f>
        <v>Accessories</v>
      </c>
      <c r="R200" s="25">
        <f>Invoices[[#This Row],[Quantity]]*Invoices[[#This Row],[Unit Cost]]</f>
        <v>89.7</v>
      </c>
      <c r="S200" s="25">
        <f>Invoices[[#This Row],[Quantity]]*Invoices[[#This Row],[New Unit Price]]</f>
        <v>250</v>
      </c>
      <c r="T200" s="25">
        <f>Invoices[[#This Row],[Revenue]]-Invoices[[#This Row],[Cost]]</f>
        <v>160.30000000000001</v>
      </c>
      <c r="U200" s="25" t="str">
        <f>TEXT(Invoices[[#This Row],[Date]],"MMM")</f>
        <v>Jun</v>
      </c>
      <c r="V200" s="29">
        <f>CHOOSE(MONTH(Invoices[[#This Row],[Date]]),1,1,1,2,2,2,3,3,3,4,4,4)</f>
        <v>2</v>
      </c>
      <c r="W200" s="30">
        <f>IFERROR(Invoices[[#This Row],[Profit]]/Invoices[[#This Row],[Revenue]],0)</f>
        <v>0.64119999999999999</v>
      </c>
    </row>
    <row r="201" spans="1:23" x14ac:dyDescent="0.3">
      <c r="A201" s="19" t="s">
        <v>141</v>
      </c>
      <c r="B201" s="9">
        <v>22860</v>
      </c>
      <c r="C201" s="15">
        <v>41433</v>
      </c>
      <c r="D201" s="9">
        <v>118</v>
      </c>
      <c r="E201" s="10" t="s">
        <v>86</v>
      </c>
      <c r="F201" s="9">
        <v>1</v>
      </c>
      <c r="G201" s="10" t="s">
        <v>142</v>
      </c>
      <c r="H201" s="9" t="s">
        <v>109</v>
      </c>
      <c r="I201" s="4" t="s">
        <v>24</v>
      </c>
      <c r="J201" s="4">
        <v>8</v>
      </c>
      <c r="K201" s="23">
        <v>25</v>
      </c>
      <c r="L201">
        <f>IF(Invoices[[#This Row],[Document Type]]="Return",Invoices[[#This Row],[Unit Price]]*-1,Invoices[[#This Row],[Unit Price]])</f>
        <v>-25</v>
      </c>
      <c r="M201" t="str">
        <f>IF(Invoices[[#This Row],[New Unit Price]]&lt;0,"Return",
IF(Invoices[[#This Row],[New Unit Price]]=0,"Free",IF(Invoices[[#This Row],[New Unit Price]]&lt;100,"Basic","Premium")))</f>
        <v>Return</v>
      </c>
      <c r="N201">
        <f>VLOOKUP(Invoices[[#This Row],[Part  '#]],Products[],4,0)</f>
        <v>12.17</v>
      </c>
      <c r="O201" t="str">
        <f>VLOOKUP(Invoices[[#This Row],[Customer Account]],Customers[],4,0)</f>
        <v>Financial</v>
      </c>
      <c r="P201" t="str">
        <f>VLOOKUP(Invoices[[#This Row],[Customer Account]],Customers[],3,0)</f>
        <v>Georgia</v>
      </c>
      <c r="Q201" t="str">
        <f>VLOOKUP(Invoices[[#This Row],[Part  '#]],Products[],3,0)</f>
        <v>Accessories</v>
      </c>
      <c r="R201" s="25">
        <f>Invoices[[#This Row],[Quantity]]*Invoices[[#This Row],[Unit Cost]]</f>
        <v>97.36</v>
      </c>
      <c r="S201" s="25">
        <f>Invoices[[#This Row],[Quantity]]*Invoices[[#This Row],[New Unit Price]]</f>
        <v>-200</v>
      </c>
      <c r="T201" s="25">
        <f>Invoices[[#This Row],[Revenue]]-Invoices[[#This Row],[Cost]]</f>
        <v>-297.36</v>
      </c>
      <c r="U201" s="25" t="str">
        <f>TEXT(Invoices[[#This Row],[Date]],"MMM")</f>
        <v>Jun</v>
      </c>
      <c r="V201" s="29">
        <f>CHOOSE(MONTH(Invoices[[#This Row],[Date]]),1,1,1,2,2,2,3,3,3,4,4,4)</f>
        <v>2</v>
      </c>
      <c r="W201" s="30">
        <f>IFERROR(Invoices[[#This Row],[Profit]]/Invoices[[#This Row],[Revenue]],0)</f>
        <v>1.4868000000000001</v>
      </c>
    </row>
    <row r="202" spans="1:23" x14ac:dyDescent="0.3">
      <c r="A202" s="19" t="s">
        <v>141</v>
      </c>
      <c r="B202" s="9">
        <v>22860</v>
      </c>
      <c r="C202" s="15">
        <v>41433</v>
      </c>
      <c r="D202" s="9">
        <v>118</v>
      </c>
      <c r="E202" s="10" t="s">
        <v>86</v>
      </c>
      <c r="F202" s="9">
        <v>2</v>
      </c>
      <c r="G202" s="10" t="s">
        <v>142</v>
      </c>
      <c r="H202" s="9" t="s">
        <v>116</v>
      </c>
      <c r="I202" s="4" t="s">
        <v>32</v>
      </c>
      <c r="J202" s="4">
        <v>8</v>
      </c>
      <c r="K202" s="23">
        <v>20</v>
      </c>
      <c r="L202">
        <f>IF(Invoices[[#This Row],[Document Type]]="Return",Invoices[[#This Row],[Unit Price]]*-1,Invoices[[#This Row],[Unit Price]])</f>
        <v>-20</v>
      </c>
      <c r="M202" t="str">
        <f>IF(Invoices[[#This Row],[New Unit Price]]&lt;0,"Return",
IF(Invoices[[#This Row],[New Unit Price]]=0,"Free",IF(Invoices[[#This Row],[New Unit Price]]&lt;100,"Basic","Premium")))</f>
        <v>Return</v>
      </c>
      <c r="N202">
        <f>VLOOKUP(Invoices[[#This Row],[Part  '#]],Products[],4,0)</f>
        <v>8.15</v>
      </c>
      <c r="O202" t="str">
        <f>VLOOKUP(Invoices[[#This Row],[Customer Account]],Customers[],4,0)</f>
        <v>Financial</v>
      </c>
      <c r="P202" t="str">
        <f>VLOOKUP(Invoices[[#This Row],[Customer Account]],Customers[],3,0)</f>
        <v>Georgia</v>
      </c>
      <c r="Q202" t="str">
        <f>VLOOKUP(Invoices[[#This Row],[Part  '#]],Products[],3,0)</f>
        <v>Accessories</v>
      </c>
      <c r="R202" s="25">
        <f>Invoices[[#This Row],[Quantity]]*Invoices[[#This Row],[Unit Cost]]</f>
        <v>65.2</v>
      </c>
      <c r="S202" s="25">
        <f>Invoices[[#This Row],[Quantity]]*Invoices[[#This Row],[New Unit Price]]</f>
        <v>-160</v>
      </c>
      <c r="T202" s="25">
        <f>Invoices[[#This Row],[Revenue]]-Invoices[[#This Row],[Cost]]</f>
        <v>-225.2</v>
      </c>
      <c r="U202" s="25" t="str">
        <f>TEXT(Invoices[[#This Row],[Date]],"MMM")</f>
        <v>Jun</v>
      </c>
      <c r="V202" s="29">
        <f>CHOOSE(MONTH(Invoices[[#This Row],[Date]]),1,1,1,2,2,2,3,3,3,4,4,4)</f>
        <v>2</v>
      </c>
      <c r="W202" s="30">
        <f>IFERROR(Invoices[[#This Row],[Profit]]/Invoices[[#This Row],[Revenue]],0)</f>
        <v>1.4075</v>
      </c>
    </row>
    <row r="203" spans="1:23" x14ac:dyDescent="0.3">
      <c r="A203" s="19" t="s">
        <v>5</v>
      </c>
      <c r="B203" s="9">
        <v>22861</v>
      </c>
      <c r="C203" s="15">
        <v>41435</v>
      </c>
      <c r="D203" s="9">
        <v>118</v>
      </c>
      <c r="E203" s="10" t="s">
        <v>86</v>
      </c>
      <c r="F203" s="9">
        <v>1</v>
      </c>
      <c r="G203" s="10"/>
      <c r="H203" s="9" t="s">
        <v>110</v>
      </c>
      <c r="I203" s="4" t="s">
        <v>25</v>
      </c>
      <c r="J203" s="4"/>
      <c r="K203" s="23">
        <v>35</v>
      </c>
      <c r="L203">
        <f>IF(Invoices[[#This Row],[Document Type]]="Return",Invoices[[#This Row],[Unit Price]]*-1,Invoices[[#This Row],[Unit Price]])</f>
        <v>35</v>
      </c>
      <c r="M203" t="str">
        <f>IF(Invoices[[#This Row],[New Unit Price]]&lt;0,"Return",
IF(Invoices[[#This Row],[New Unit Price]]=0,"Free",IF(Invoices[[#This Row],[New Unit Price]]&lt;100,"Basic","Premium")))</f>
        <v>Basic</v>
      </c>
      <c r="N203">
        <f>VLOOKUP(Invoices[[#This Row],[Part  '#]],Products[],4,0)</f>
        <v>13.79</v>
      </c>
      <c r="O203" t="str">
        <f>VLOOKUP(Invoices[[#This Row],[Customer Account]],Customers[],4,0)</f>
        <v>Financial</v>
      </c>
      <c r="P203" t="str">
        <f>VLOOKUP(Invoices[[#This Row],[Customer Account]],Customers[],3,0)</f>
        <v>Georgia</v>
      </c>
      <c r="Q203" t="str">
        <f>VLOOKUP(Invoices[[#This Row],[Part  '#]],Products[],3,0)</f>
        <v>Accessories</v>
      </c>
      <c r="R203" s="25">
        <f>Invoices[[#This Row],[Quantity]]*Invoices[[#This Row],[Unit Cost]]</f>
        <v>0</v>
      </c>
      <c r="S203" s="25">
        <f>Invoices[[#This Row],[Quantity]]*Invoices[[#This Row],[New Unit Price]]</f>
        <v>0</v>
      </c>
      <c r="T203" s="25">
        <f>Invoices[[#This Row],[Revenue]]-Invoices[[#This Row],[Cost]]</f>
        <v>0</v>
      </c>
      <c r="U203" s="25" t="str">
        <f>TEXT(Invoices[[#This Row],[Date]],"MMM")</f>
        <v>Jun</v>
      </c>
      <c r="V203" s="29">
        <f>CHOOSE(MONTH(Invoices[[#This Row],[Date]]),1,1,1,2,2,2,3,3,3,4,4,4)</f>
        <v>2</v>
      </c>
      <c r="W203" s="30">
        <f>IFERROR(Invoices[[#This Row],[Profit]]/Invoices[[#This Row],[Revenue]],0)</f>
        <v>0</v>
      </c>
    </row>
    <row r="204" spans="1:23" x14ac:dyDescent="0.3">
      <c r="A204" s="19" t="s">
        <v>5</v>
      </c>
      <c r="B204" s="9">
        <v>22861</v>
      </c>
      <c r="C204" s="15">
        <v>41435</v>
      </c>
      <c r="D204" s="9">
        <v>118</v>
      </c>
      <c r="E204" s="10" t="s">
        <v>86</v>
      </c>
      <c r="F204" s="9">
        <v>2</v>
      </c>
      <c r="G204" s="10"/>
      <c r="H204" s="9" t="s">
        <v>117</v>
      </c>
      <c r="I204" s="4" t="s">
        <v>33</v>
      </c>
      <c r="J204" s="4"/>
      <c r="K204" s="23">
        <v>30</v>
      </c>
      <c r="L204">
        <f>IF(Invoices[[#This Row],[Document Type]]="Return",Invoices[[#This Row],[Unit Price]]*-1,Invoices[[#This Row],[Unit Price]])</f>
        <v>30</v>
      </c>
      <c r="M204" t="str">
        <f>IF(Invoices[[#This Row],[New Unit Price]]&lt;0,"Return",
IF(Invoices[[#This Row],[New Unit Price]]=0,"Free",IF(Invoices[[#This Row],[New Unit Price]]&lt;100,"Basic","Premium")))</f>
        <v>Basic</v>
      </c>
      <c r="N204">
        <f>VLOOKUP(Invoices[[#This Row],[Part  '#]],Products[],4,0)</f>
        <v>11.59</v>
      </c>
      <c r="O204" t="str">
        <f>VLOOKUP(Invoices[[#This Row],[Customer Account]],Customers[],4,0)</f>
        <v>Financial</v>
      </c>
      <c r="P204" t="str">
        <f>VLOOKUP(Invoices[[#This Row],[Customer Account]],Customers[],3,0)</f>
        <v>Georgia</v>
      </c>
      <c r="Q204" t="str">
        <f>VLOOKUP(Invoices[[#This Row],[Part  '#]],Products[],3,0)</f>
        <v>Accessories</v>
      </c>
      <c r="R204" s="25">
        <f>Invoices[[#This Row],[Quantity]]*Invoices[[#This Row],[Unit Cost]]</f>
        <v>0</v>
      </c>
      <c r="S204" s="25">
        <f>Invoices[[#This Row],[Quantity]]*Invoices[[#This Row],[New Unit Price]]</f>
        <v>0</v>
      </c>
      <c r="T204" s="25">
        <f>Invoices[[#This Row],[Revenue]]-Invoices[[#This Row],[Cost]]</f>
        <v>0</v>
      </c>
      <c r="U204" s="25" t="str">
        <f>TEXT(Invoices[[#This Row],[Date]],"MMM")</f>
        <v>Jun</v>
      </c>
      <c r="V204" s="29">
        <f>CHOOSE(MONTH(Invoices[[#This Row],[Date]]),1,1,1,2,2,2,3,3,3,4,4,4)</f>
        <v>2</v>
      </c>
      <c r="W204" s="30">
        <f>IFERROR(Invoices[[#This Row],[Profit]]/Invoices[[#This Row],[Revenue]],0)</f>
        <v>0</v>
      </c>
    </row>
    <row r="205" spans="1:23" x14ac:dyDescent="0.3">
      <c r="A205" s="19" t="s">
        <v>5</v>
      </c>
      <c r="B205" s="9">
        <v>22862</v>
      </c>
      <c r="C205" s="15">
        <v>41439</v>
      </c>
      <c r="D205" s="9">
        <v>107</v>
      </c>
      <c r="E205" s="10" t="s">
        <v>72</v>
      </c>
      <c r="F205" s="8">
        <v>1</v>
      </c>
      <c r="G205" s="10"/>
      <c r="H205" s="4" t="s">
        <v>101</v>
      </c>
      <c r="I205" s="4" t="s">
        <v>14</v>
      </c>
      <c r="J205" s="4">
        <v>1</v>
      </c>
      <c r="K205" s="23">
        <v>750</v>
      </c>
      <c r="L205">
        <f>IF(Invoices[[#This Row],[Document Type]]="Return",Invoices[[#This Row],[Unit Price]]*-1,Invoices[[#This Row],[Unit Price]])</f>
        <v>750</v>
      </c>
      <c r="M205" t="str">
        <f>IF(Invoices[[#This Row],[New Unit Price]]&lt;0,"Return",
IF(Invoices[[#This Row],[New Unit Price]]=0,"Free",IF(Invoices[[#This Row],[New Unit Price]]&lt;100,"Basic","Premium")))</f>
        <v>Premium</v>
      </c>
      <c r="N205">
        <f>VLOOKUP(Invoices[[#This Row],[Part  '#]],Products[],4,0)</f>
        <v>412.96</v>
      </c>
      <c r="O205" t="str">
        <f>VLOOKUP(Invoices[[#This Row],[Customer Account]],Customers[],4,0)</f>
        <v>Financial</v>
      </c>
      <c r="P205" t="str">
        <f>VLOOKUP(Invoices[[#This Row],[Customer Account]],Customers[],3,0)</f>
        <v>Georgia</v>
      </c>
      <c r="Q205" t="str">
        <f>VLOOKUP(Invoices[[#This Row],[Part  '#]],Products[],3,0)</f>
        <v>Product</v>
      </c>
      <c r="R205" s="25">
        <f>Invoices[[#This Row],[Quantity]]*Invoices[[#This Row],[Unit Cost]]</f>
        <v>412.96</v>
      </c>
      <c r="S205" s="25">
        <f>Invoices[[#This Row],[Quantity]]*Invoices[[#This Row],[New Unit Price]]</f>
        <v>750</v>
      </c>
      <c r="T205" s="25">
        <f>Invoices[[#This Row],[Revenue]]-Invoices[[#This Row],[Cost]]</f>
        <v>337.04</v>
      </c>
      <c r="U205" s="25" t="str">
        <f>TEXT(Invoices[[#This Row],[Date]],"MMM")</f>
        <v>Jun</v>
      </c>
      <c r="V205" s="29">
        <f>CHOOSE(MONTH(Invoices[[#This Row],[Date]]),1,1,1,2,2,2,3,3,3,4,4,4)</f>
        <v>2</v>
      </c>
      <c r="W205" s="30">
        <f>IFERROR(Invoices[[#This Row],[Profit]]/Invoices[[#This Row],[Revenue]],0)</f>
        <v>0.44938666666666671</v>
      </c>
    </row>
    <row r="206" spans="1:23" x14ac:dyDescent="0.3">
      <c r="A206" s="19" t="s">
        <v>5</v>
      </c>
      <c r="B206" s="9">
        <v>22863</v>
      </c>
      <c r="C206" s="15">
        <v>41441</v>
      </c>
      <c r="D206" s="9">
        <v>110</v>
      </c>
      <c r="E206" s="10" t="s">
        <v>75</v>
      </c>
      <c r="F206" s="8">
        <v>1</v>
      </c>
      <c r="G206" s="10"/>
      <c r="H206" s="4" t="s">
        <v>92</v>
      </c>
      <c r="I206" s="4" t="s">
        <v>10</v>
      </c>
      <c r="J206" s="4">
        <v>50</v>
      </c>
      <c r="K206" s="23">
        <v>1500</v>
      </c>
      <c r="L206">
        <f>IF(Invoices[[#This Row],[Document Type]]="Return",Invoices[[#This Row],[Unit Price]]*-1,Invoices[[#This Row],[Unit Price]])</f>
        <v>1500</v>
      </c>
      <c r="M206" t="str">
        <f>IF(Invoices[[#This Row],[New Unit Price]]&lt;0,"Return",
IF(Invoices[[#This Row],[New Unit Price]]=0,"Free",IF(Invoices[[#This Row],[New Unit Price]]&lt;100,"Basic","Premium")))</f>
        <v>Premium</v>
      </c>
      <c r="N206">
        <f>VLOOKUP(Invoices[[#This Row],[Part  '#]],Products[],4,0)</f>
        <v>899.1</v>
      </c>
      <c r="O206" t="str">
        <f>VLOOKUP(Invoices[[#This Row],[Customer Account]],Customers[],4,0)</f>
        <v>Automotive</v>
      </c>
      <c r="P206" t="str">
        <f>VLOOKUP(Invoices[[#This Row],[Customer Account]],Customers[],3,0)</f>
        <v>Alabama</v>
      </c>
      <c r="Q206" t="str">
        <f>VLOOKUP(Invoices[[#This Row],[Part  '#]],Products[],3,0)</f>
        <v>Product</v>
      </c>
      <c r="R206" s="25">
        <f>Invoices[[#This Row],[Quantity]]*Invoices[[#This Row],[Unit Cost]]</f>
        <v>44955</v>
      </c>
      <c r="S206" s="25">
        <f>Invoices[[#This Row],[Quantity]]*Invoices[[#This Row],[New Unit Price]]</f>
        <v>75000</v>
      </c>
      <c r="T206" s="25">
        <f>Invoices[[#This Row],[Revenue]]-Invoices[[#This Row],[Cost]]</f>
        <v>30045</v>
      </c>
      <c r="U206" s="25" t="str">
        <f>TEXT(Invoices[[#This Row],[Date]],"MMM")</f>
        <v>Jun</v>
      </c>
      <c r="V206" s="29">
        <f>CHOOSE(MONTH(Invoices[[#This Row],[Date]]),1,1,1,2,2,2,3,3,3,4,4,4)</f>
        <v>2</v>
      </c>
      <c r="W206" s="30">
        <f>IFERROR(Invoices[[#This Row],[Profit]]/Invoices[[#This Row],[Revenue]],0)</f>
        <v>0.40060000000000001</v>
      </c>
    </row>
    <row r="207" spans="1:23" x14ac:dyDescent="0.3">
      <c r="A207" s="19" t="s">
        <v>5</v>
      </c>
      <c r="B207" s="9">
        <v>22863</v>
      </c>
      <c r="C207" s="15">
        <v>41441</v>
      </c>
      <c r="D207" s="9">
        <v>110</v>
      </c>
      <c r="E207" s="10" t="s">
        <v>75</v>
      </c>
      <c r="F207" s="8">
        <v>2</v>
      </c>
      <c r="G207" s="10"/>
      <c r="H207" s="4" t="s">
        <v>109</v>
      </c>
      <c r="I207" s="4" t="s">
        <v>24</v>
      </c>
      <c r="J207" s="4">
        <v>50</v>
      </c>
      <c r="K207" s="23">
        <v>0</v>
      </c>
      <c r="L207">
        <f>IF(Invoices[[#This Row],[Document Type]]="Return",Invoices[[#This Row],[Unit Price]]*-1,Invoices[[#This Row],[Unit Price]])</f>
        <v>0</v>
      </c>
      <c r="M207" t="str">
        <f>IF(Invoices[[#This Row],[New Unit Price]]&lt;0,"Return",
IF(Invoices[[#This Row],[New Unit Price]]=0,"Free",IF(Invoices[[#This Row],[New Unit Price]]&lt;100,"Basic","Premium")))</f>
        <v>Free</v>
      </c>
      <c r="N207">
        <f>VLOOKUP(Invoices[[#This Row],[Part  '#]],Products[],4,0)</f>
        <v>12.17</v>
      </c>
      <c r="O207" t="str">
        <f>VLOOKUP(Invoices[[#This Row],[Customer Account]],Customers[],4,0)</f>
        <v>Automotive</v>
      </c>
      <c r="P207" t="str">
        <f>VLOOKUP(Invoices[[#This Row],[Customer Account]],Customers[],3,0)</f>
        <v>Alabama</v>
      </c>
      <c r="Q207" t="str">
        <f>VLOOKUP(Invoices[[#This Row],[Part  '#]],Products[],3,0)</f>
        <v>Accessories</v>
      </c>
      <c r="R207" s="25">
        <f>Invoices[[#This Row],[Quantity]]*Invoices[[#This Row],[Unit Cost]]</f>
        <v>608.5</v>
      </c>
      <c r="S207" s="25">
        <f>Invoices[[#This Row],[Quantity]]*Invoices[[#This Row],[New Unit Price]]</f>
        <v>0</v>
      </c>
      <c r="T207" s="25">
        <f>Invoices[[#This Row],[Revenue]]-Invoices[[#This Row],[Cost]]</f>
        <v>-608.5</v>
      </c>
      <c r="U207" s="25" t="str">
        <f>TEXT(Invoices[[#This Row],[Date]],"MMM")</f>
        <v>Jun</v>
      </c>
      <c r="V207" s="29">
        <f>CHOOSE(MONTH(Invoices[[#This Row],[Date]]),1,1,1,2,2,2,3,3,3,4,4,4)</f>
        <v>2</v>
      </c>
      <c r="W207" s="30">
        <f>IFERROR(Invoices[[#This Row],[Profit]]/Invoices[[#This Row],[Revenue]],0)</f>
        <v>0</v>
      </c>
    </row>
    <row r="208" spans="1:23" x14ac:dyDescent="0.3">
      <c r="A208" s="19" t="s">
        <v>5</v>
      </c>
      <c r="B208" s="9">
        <v>22863</v>
      </c>
      <c r="C208" s="15">
        <v>41441</v>
      </c>
      <c r="D208" s="9">
        <v>110</v>
      </c>
      <c r="E208" s="10" t="s">
        <v>75</v>
      </c>
      <c r="F208" s="8">
        <v>3</v>
      </c>
      <c r="G208" s="10"/>
      <c r="H208" s="4" t="s">
        <v>116</v>
      </c>
      <c r="I208" s="4" t="s">
        <v>32</v>
      </c>
      <c r="J208" s="4">
        <v>50</v>
      </c>
      <c r="K208" s="23">
        <v>0</v>
      </c>
      <c r="L208">
        <f>IF(Invoices[[#This Row],[Document Type]]="Return",Invoices[[#This Row],[Unit Price]]*-1,Invoices[[#This Row],[Unit Price]])</f>
        <v>0</v>
      </c>
      <c r="M208" t="str">
        <f>IF(Invoices[[#This Row],[New Unit Price]]&lt;0,"Return",
IF(Invoices[[#This Row],[New Unit Price]]=0,"Free",IF(Invoices[[#This Row],[New Unit Price]]&lt;100,"Basic","Premium")))</f>
        <v>Free</v>
      </c>
      <c r="N208">
        <f>VLOOKUP(Invoices[[#This Row],[Part  '#]],Products[],4,0)</f>
        <v>8.15</v>
      </c>
      <c r="O208" t="str">
        <f>VLOOKUP(Invoices[[#This Row],[Customer Account]],Customers[],4,0)</f>
        <v>Automotive</v>
      </c>
      <c r="P208" t="str">
        <f>VLOOKUP(Invoices[[#This Row],[Customer Account]],Customers[],3,0)</f>
        <v>Alabama</v>
      </c>
      <c r="Q208" t="str">
        <f>VLOOKUP(Invoices[[#This Row],[Part  '#]],Products[],3,0)</f>
        <v>Accessories</v>
      </c>
      <c r="R208" s="25">
        <f>Invoices[[#This Row],[Quantity]]*Invoices[[#This Row],[Unit Cost]]</f>
        <v>407.5</v>
      </c>
      <c r="S208" s="25">
        <f>Invoices[[#This Row],[Quantity]]*Invoices[[#This Row],[New Unit Price]]</f>
        <v>0</v>
      </c>
      <c r="T208" s="25">
        <f>Invoices[[#This Row],[Revenue]]-Invoices[[#This Row],[Cost]]</f>
        <v>-407.5</v>
      </c>
      <c r="U208" s="25" t="str">
        <f>TEXT(Invoices[[#This Row],[Date]],"MMM")</f>
        <v>Jun</v>
      </c>
      <c r="V208" s="29">
        <f>CHOOSE(MONTH(Invoices[[#This Row],[Date]]),1,1,1,2,2,2,3,3,3,4,4,4)</f>
        <v>2</v>
      </c>
      <c r="W208" s="30">
        <f>IFERROR(Invoices[[#This Row],[Profit]]/Invoices[[#This Row],[Revenue]],0)</f>
        <v>0</v>
      </c>
    </row>
    <row r="209" spans="1:23" x14ac:dyDescent="0.3">
      <c r="A209" s="19" t="s">
        <v>5</v>
      </c>
      <c r="B209" s="9">
        <v>22863</v>
      </c>
      <c r="C209" s="15">
        <v>41441</v>
      </c>
      <c r="D209" s="9">
        <v>110</v>
      </c>
      <c r="E209" s="10" t="s">
        <v>75</v>
      </c>
      <c r="F209" s="8">
        <v>4</v>
      </c>
      <c r="G209" s="10"/>
      <c r="H209" s="4" t="s">
        <v>118</v>
      </c>
      <c r="I209" s="4" t="s">
        <v>42</v>
      </c>
      <c r="J209" s="4">
        <v>50</v>
      </c>
      <c r="K209" s="23">
        <v>0</v>
      </c>
      <c r="L209">
        <f>IF(Invoices[[#This Row],[Document Type]]="Return",Invoices[[#This Row],[Unit Price]]*-1,Invoices[[#This Row],[Unit Price]])</f>
        <v>0</v>
      </c>
      <c r="M209" t="str">
        <f>IF(Invoices[[#This Row],[New Unit Price]]&lt;0,"Return",
IF(Invoices[[#This Row],[New Unit Price]]=0,"Free",IF(Invoices[[#This Row],[New Unit Price]]&lt;100,"Basic","Premium")))</f>
        <v>Free</v>
      </c>
      <c r="N209">
        <f>VLOOKUP(Invoices[[#This Row],[Part  '#]],Products[],4,0)</f>
        <v>12.33</v>
      </c>
      <c r="O209" t="str">
        <f>VLOOKUP(Invoices[[#This Row],[Customer Account]],Customers[],4,0)</f>
        <v>Automotive</v>
      </c>
      <c r="P209" t="str">
        <f>VLOOKUP(Invoices[[#This Row],[Customer Account]],Customers[],3,0)</f>
        <v>Alabama</v>
      </c>
      <c r="Q209" t="str">
        <f>VLOOKUP(Invoices[[#This Row],[Part  '#]],Products[],3,0)</f>
        <v>Accessories</v>
      </c>
      <c r="R209" s="25">
        <f>Invoices[[#This Row],[Quantity]]*Invoices[[#This Row],[Unit Cost]]</f>
        <v>616.5</v>
      </c>
      <c r="S209" s="25">
        <f>Invoices[[#This Row],[Quantity]]*Invoices[[#This Row],[New Unit Price]]</f>
        <v>0</v>
      </c>
      <c r="T209" s="25">
        <f>Invoices[[#This Row],[Revenue]]-Invoices[[#This Row],[Cost]]</f>
        <v>-616.5</v>
      </c>
      <c r="U209" s="25" t="str">
        <f>TEXT(Invoices[[#This Row],[Date]],"MMM")</f>
        <v>Jun</v>
      </c>
      <c r="V209" s="29">
        <f>CHOOSE(MONTH(Invoices[[#This Row],[Date]]),1,1,1,2,2,2,3,3,3,4,4,4)</f>
        <v>2</v>
      </c>
      <c r="W209" s="30">
        <f>IFERROR(Invoices[[#This Row],[Profit]]/Invoices[[#This Row],[Revenue]],0)</f>
        <v>0</v>
      </c>
    </row>
    <row r="210" spans="1:23" x14ac:dyDescent="0.3">
      <c r="A210" s="19" t="s">
        <v>5</v>
      </c>
      <c r="B210" s="9">
        <v>22863</v>
      </c>
      <c r="C210" s="15">
        <v>41441</v>
      </c>
      <c r="D210" s="9">
        <v>110</v>
      </c>
      <c r="E210" s="10" t="s">
        <v>75</v>
      </c>
      <c r="F210" s="8">
        <v>5</v>
      </c>
      <c r="G210" s="10"/>
      <c r="H210" s="4" t="s">
        <v>123</v>
      </c>
      <c r="I210" s="4" t="s">
        <v>38</v>
      </c>
      <c r="J210" s="4">
        <v>200</v>
      </c>
      <c r="K210" s="23">
        <v>16</v>
      </c>
      <c r="L210">
        <f>IF(Invoices[[#This Row],[Document Type]]="Return",Invoices[[#This Row],[Unit Price]]*-1,Invoices[[#This Row],[Unit Price]])</f>
        <v>16</v>
      </c>
      <c r="M210" t="str">
        <f>IF(Invoices[[#This Row],[New Unit Price]]&lt;0,"Return",
IF(Invoices[[#This Row],[New Unit Price]]=0,"Free",IF(Invoices[[#This Row],[New Unit Price]]&lt;100,"Basic","Premium")))</f>
        <v>Basic</v>
      </c>
      <c r="N210">
        <f>VLOOKUP(Invoices[[#This Row],[Part  '#]],Products[],4,0)</f>
        <v>4.58</v>
      </c>
      <c r="O210" t="str">
        <f>VLOOKUP(Invoices[[#This Row],[Customer Account]],Customers[],4,0)</f>
        <v>Automotive</v>
      </c>
      <c r="P210" t="str">
        <f>VLOOKUP(Invoices[[#This Row],[Customer Account]],Customers[],3,0)</f>
        <v>Alabama</v>
      </c>
      <c r="Q210" t="str">
        <f>VLOOKUP(Invoices[[#This Row],[Part  '#]],Products[],3,0)</f>
        <v>Consumables</v>
      </c>
      <c r="R210" s="25">
        <f>Invoices[[#This Row],[Quantity]]*Invoices[[#This Row],[Unit Cost]]</f>
        <v>916</v>
      </c>
      <c r="S210" s="25">
        <f>Invoices[[#This Row],[Quantity]]*Invoices[[#This Row],[New Unit Price]]</f>
        <v>3200</v>
      </c>
      <c r="T210" s="25">
        <f>Invoices[[#This Row],[Revenue]]-Invoices[[#This Row],[Cost]]</f>
        <v>2284</v>
      </c>
      <c r="U210" s="25" t="str">
        <f>TEXT(Invoices[[#This Row],[Date]],"MMM")</f>
        <v>Jun</v>
      </c>
      <c r="V210" s="29">
        <f>CHOOSE(MONTH(Invoices[[#This Row],[Date]]),1,1,1,2,2,2,3,3,3,4,4,4)</f>
        <v>2</v>
      </c>
      <c r="W210" s="30">
        <f>IFERROR(Invoices[[#This Row],[Profit]]/Invoices[[#This Row],[Revenue]],0)</f>
        <v>0.71375</v>
      </c>
    </row>
    <row r="211" spans="1:23" x14ac:dyDescent="0.3">
      <c r="A211" s="19" t="s">
        <v>5</v>
      </c>
      <c r="B211" s="9">
        <v>22863</v>
      </c>
      <c r="C211" s="15">
        <v>41441</v>
      </c>
      <c r="D211" s="9">
        <v>110</v>
      </c>
      <c r="E211" s="10" t="s">
        <v>75</v>
      </c>
      <c r="F211" s="8">
        <v>6</v>
      </c>
      <c r="G211" s="10"/>
      <c r="H211" s="4" t="s">
        <v>120</v>
      </c>
      <c r="I211" s="4" t="s">
        <v>54</v>
      </c>
      <c r="J211" s="4">
        <v>5</v>
      </c>
      <c r="K211" s="23">
        <v>0</v>
      </c>
      <c r="L211">
        <f>IF(Invoices[[#This Row],[Document Type]]="Return",Invoices[[#This Row],[Unit Price]]*-1,Invoices[[#This Row],[Unit Price]])</f>
        <v>0</v>
      </c>
      <c r="M211" t="str">
        <f>IF(Invoices[[#This Row],[New Unit Price]]&lt;0,"Return",
IF(Invoices[[#This Row],[New Unit Price]]=0,"Free",IF(Invoices[[#This Row],[New Unit Price]]&lt;100,"Basic","Premium")))</f>
        <v>Free</v>
      </c>
      <c r="N211">
        <f>VLOOKUP(Invoices[[#This Row],[Part  '#]],Products[],4,0)</f>
        <v>89.7</v>
      </c>
      <c r="O211" t="str">
        <f>VLOOKUP(Invoices[[#This Row],[Customer Account]],Customers[],4,0)</f>
        <v>Automotive</v>
      </c>
      <c r="P211" t="str">
        <f>VLOOKUP(Invoices[[#This Row],[Customer Account]],Customers[],3,0)</f>
        <v>Alabama</v>
      </c>
      <c r="Q211" t="str">
        <f>VLOOKUP(Invoices[[#This Row],[Part  '#]],Products[],3,0)</f>
        <v>Accessories</v>
      </c>
      <c r="R211" s="25">
        <f>Invoices[[#This Row],[Quantity]]*Invoices[[#This Row],[Unit Cost]]</f>
        <v>448.5</v>
      </c>
      <c r="S211" s="25">
        <f>Invoices[[#This Row],[Quantity]]*Invoices[[#This Row],[New Unit Price]]</f>
        <v>0</v>
      </c>
      <c r="T211" s="25">
        <f>Invoices[[#This Row],[Revenue]]-Invoices[[#This Row],[Cost]]</f>
        <v>-448.5</v>
      </c>
      <c r="U211" s="25" t="str">
        <f>TEXT(Invoices[[#This Row],[Date]],"MMM")</f>
        <v>Jun</v>
      </c>
      <c r="V211" s="29">
        <f>CHOOSE(MONTH(Invoices[[#This Row],[Date]]),1,1,1,2,2,2,3,3,3,4,4,4)</f>
        <v>2</v>
      </c>
      <c r="W211" s="30">
        <f>IFERROR(Invoices[[#This Row],[Profit]]/Invoices[[#This Row],[Revenue]],0)</f>
        <v>0</v>
      </c>
    </row>
    <row r="212" spans="1:23" x14ac:dyDescent="0.3">
      <c r="A212" s="19" t="s">
        <v>5</v>
      </c>
      <c r="B212" s="9">
        <v>22863</v>
      </c>
      <c r="C212" s="15">
        <v>41441</v>
      </c>
      <c r="D212" s="9">
        <v>110</v>
      </c>
      <c r="E212" s="10" t="s">
        <v>75</v>
      </c>
      <c r="F212" s="8">
        <v>7</v>
      </c>
      <c r="G212" s="10"/>
      <c r="H212" s="4" t="s">
        <v>99</v>
      </c>
      <c r="I212" s="4" t="s">
        <v>12</v>
      </c>
      <c r="J212" s="4">
        <v>10</v>
      </c>
      <c r="K212" s="23">
        <v>600</v>
      </c>
      <c r="L212">
        <f>IF(Invoices[[#This Row],[Document Type]]="Return",Invoices[[#This Row],[Unit Price]]*-1,Invoices[[#This Row],[Unit Price]])</f>
        <v>600</v>
      </c>
      <c r="M212" t="str">
        <f>IF(Invoices[[#This Row],[New Unit Price]]&lt;0,"Return",
IF(Invoices[[#This Row],[New Unit Price]]=0,"Free",IF(Invoices[[#This Row],[New Unit Price]]&lt;100,"Basic","Premium")))</f>
        <v>Premium</v>
      </c>
      <c r="N212">
        <f>VLOOKUP(Invoices[[#This Row],[Part  '#]],Products[],4,0)</f>
        <v>317.25</v>
      </c>
      <c r="O212" t="str">
        <f>VLOOKUP(Invoices[[#This Row],[Customer Account]],Customers[],4,0)</f>
        <v>Automotive</v>
      </c>
      <c r="P212" t="str">
        <f>VLOOKUP(Invoices[[#This Row],[Customer Account]],Customers[],3,0)</f>
        <v>Alabama</v>
      </c>
      <c r="Q212" t="str">
        <f>VLOOKUP(Invoices[[#This Row],[Part  '#]],Products[],3,0)</f>
        <v>Product</v>
      </c>
      <c r="R212" s="25">
        <f>Invoices[[#This Row],[Quantity]]*Invoices[[#This Row],[Unit Cost]]</f>
        <v>3172.5</v>
      </c>
      <c r="S212" s="25">
        <f>Invoices[[#This Row],[Quantity]]*Invoices[[#This Row],[New Unit Price]]</f>
        <v>6000</v>
      </c>
      <c r="T212" s="25">
        <f>Invoices[[#This Row],[Revenue]]-Invoices[[#This Row],[Cost]]</f>
        <v>2827.5</v>
      </c>
      <c r="U212" s="25" t="str">
        <f>TEXT(Invoices[[#This Row],[Date]],"MMM")</f>
        <v>Jun</v>
      </c>
      <c r="V212" s="29">
        <f>CHOOSE(MONTH(Invoices[[#This Row],[Date]]),1,1,1,2,2,2,3,3,3,4,4,4)</f>
        <v>2</v>
      </c>
      <c r="W212" s="30">
        <f>IFERROR(Invoices[[#This Row],[Profit]]/Invoices[[#This Row],[Revenue]],0)</f>
        <v>0.47125</v>
      </c>
    </row>
    <row r="213" spans="1:23" x14ac:dyDescent="0.3">
      <c r="A213" s="19" t="s">
        <v>5</v>
      </c>
      <c r="B213" s="9">
        <v>22863</v>
      </c>
      <c r="C213" s="15">
        <v>41441</v>
      </c>
      <c r="D213" s="9">
        <v>110</v>
      </c>
      <c r="E213" s="10" t="s">
        <v>75</v>
      </c>
      <c r="F213" s="8">
        <v>8</v>
      </c>
      <c r="G213" s="10"/>
      <c r="H213" s="4" t="s">
        <v>137</v>
      </c>
      <c r="I213" s="4" t="s">
        <v>31</v>
      </c>
      <c r="J213" s="4">
        <v>10</v>
      </c>
      <c r="K213" s="23">
        <v>30</v>
      </c>
      <c r="L213">
        <f>IF(Invoices[[#This Row],[Document Type]]="Return",Invoices[[#This Row],[Unit Price]]*-1,Invoices[[#This Row],[Unit Price]])</f>
        <v>30</v>
      </c>
      <c r="M213" t="str">
        <f>IF(Invoices[[#This Row],[New Unit Price]]&lt;0,"Return",
IF(Invoices[[#This Row],[New Unit Price]]=0,"Free",IF(Invoices[[#This Row],[New Unit Price]]&lt;100,"Basic","Premium")))</f>
        <v>Basic</v>
      </c>
      <c r="N213">
        <f>VLOOKUP(Invoices[[#This Row],[Part  '#]],Products[],4,0)</f>
        <v>6.3</v>
      </c>
      <c r="O213" t="str">
        <f>VLOOKUP(Invoices[[#This Row],[Customer Account]],Customers[],4,0)</f>
        <v>Automotive</v>
      </c>
      <c r="P213" t="str">
        <f>VLOOKUP(Invoices[[#This Row],[Customer Account]],Customers[],3,0)</f>
        <v>Alabama</v>
      </c>
      <c r="Q213" t="str">
        <f>VLOOKUP(Invoices[[#This Row],[Part  '#]],Products[],3,0)</f>
        <v>Accessories</v>
      </c>
      <c r="R213" s="25">
        <f>Invoices[[#This Row],[Quantity]]*Invoices[[#This Row],[Unit Cost]]</f>
        <v>63</v>
      </c>
      <c r="S213" s="25">
        <f>Invoices[[#This Row],[Quantity]]*Invoices[[#This Row],[New Unit Price]]</f>
        <v>300</v>
      </c>
      <c r="T213" s="25">
        <f>Invoices[[#This Row],[Revenue]]-Invoices[[#This Row],[Cost]]</f>
        <v>237</v>
      </c>
      <c r="U213" s="25" t="str">
        <f>TEXT(Invoices[[#This Row],[Date]],"MMM")</f>
        <v>Jun</v>
      </c>
      <c r="V213" s="29">
        <f>CHOOSE(MONTH(Invoices[[#This Row],[Date]]),1,1,1,2,2,2,3,3,3,4,4,4)</f>
        <v>2</v>
      </c>
      <c r="W213" s="30">
        <f>IFERROR(Invoices[[#This Row],[Profit]]/Invoices[[#This Row],[Revenue]],0)</f>
        <v>0.79</v>
      </c>
    </row>
    <row r="214" spans="1:23" x14ac:dyDescent="0.3">
      <c r="A214" s="19" t="s">
        <v>5</v>
      </c>
      <c r="B214" s="9">
        <v>22863</v>
      </c>
      <c r="C214" s="15">
        <v>41441</v>
      </c>
      <c r="D214" s="9">
        <v>110</v>
      </c>
      <c r="E214" s="10" t="s">
        <v>75</v>
      </c>
      <c r="F214" s="8">
        <v>9</v>
      </c>
      <c r="G214" s="10"/>
      <c r="H214" s="4" t="s">
        <v>117</v>
      </c>
      <c r="I214" s="4" t="s">
        <v>33</v>
      </c>
      <c r="J214" s="4">
        <v>10</v>
      </c>
      <c r="K214" s="23">
        <v>30</v>
      </c>
      <c r="L214">
        <f>IF(Invoices[[#This Row],[Document Type]]="Return",Invoices[[#This Row],[Unit Price]]*-1,Invoices[[#This Row],[Unit Price]])</f>
        <v>30</v>
      </c>
      <c r="M214" t="str">
        <f>IF(Invoices[[#This Row],[New Unit Price]]&lt;0,"Return",
IF(Invoices[[#This Row],[New Unit Price]]=0,"Free",IF(Invoices[[#This Row],[New Unit Price]]&lt;100,"Basic","Premium")))</f>
        <v>Basic</v>
      </c>
      <c r="N214">
        <f>VLOOKUP(Invoices[[#This Row],[Part  '#]],Products[],4,0)</f>
        <v>11.59</v>
      </c>
      <c r="O214" t="str">
        <f>VLOOKUP(Invoices[[#This Row],[Customer Account]],Customers[],4,0)</f>
        <v>Automotive</v>
      </c>
      <c r="P214" t="str">
        <f>VLOOKUP(Invoices[[#This Row],[Customer Account]],Customers[],3,0)</f>
        <v>Alabama</v>
      </c>
      <c r="Q214" t="str">
        <f>VLOOKUP(Invoices[[#This Row],[Part  '#]],Products[],3,0)</f>
        <v>Accessories</v>
      </c>
      <c r="R214" s="25">
        <f>Invoices[[#This Row],[Quantity]]*Invoices[[#This Row],[Unit Cost]]</f>
        <v>115.9</v>
      </c>
      <c r="S214" s="25">
        <f>Invoices[[#This Row],[Quantity]]*Invoices[[#This Row],[New Unit Price]]</f>
        <v>300</v>
      </c>
      <c r="T214" s="25">
        <f>Invoices[[#This Row],[Revenue]]-Invoices[[#This Row],[Cost]]</f>
        <v>184.1</v>
      </c>
      <c r="U214" s="25" t="str">
        <f>TEXT(Invoices[[#This Row],[Date]],"MMM")</f>
        <v>Jun</v>
      </c>
      <c r="V214" s="29">
        <f>CHOOSE(MONTH(Invoices[[#This Row],[Date]]),1,1,1,2,2,2,3,3,3,4,4,4)</f>
        <v>2</v>
      </c>
      <c r="W214" s="30">
        <f>IFERROR(Invoices[[#This Row],[Profit]]/Invoices[[#This Row],[Revenue]],0)</f>
        <v>0.61366666666666669</v>
      </c>
    </row>
    <row r="215" spans="1:23" x14ac:dyDescent="0.3">
      <c r="A215" s="19" t="s">
        <v>5</v>
      </c>
      <c r="B215" s="9">
        <v>22863</v>
      </c>
      <c r="C215" s="15">
        <v>41441</v>
      </c>
      <c r="D215" s="9">
        <v>110</v>
      </c>
      <c r="E215" s="10" t="s">
        <v>75</v>
      </c>
      <c r="F215" s="8">
        <v>10</v>
      </c>
      <c r="G215" s="10"/>
      <c r="H215" s="4" t="s">
        <v>119</v>
      </c>
      <c r="I215" s="4" t="s">
        <v>43</v>
      </c>
      <c r="J215" s="4">
        <v>10</v>
      </c>
      <c r="K215" s="23">
        <v>60</v>
      </c>
      <c r="L215">
        <f>IF(Invoices[[#This Row],[Document Type]]="Return",Invoices[[#This Row],[Unit Price]]*-1,Invoices[[#This Row],[Unit Price]])</f>
        <v>60</v>
      </c>
      <c r="M215" t="str">
        <f>IF(Invoices[[#This Row],[New Unit Price]]&lt;0,"Return",
IF(Invoices[[#This Row],[New Unit Price]]=0,"Free",IF(Invoices[[#This Row],[New Unit Price]]&lt;100,"Basic","Premium")))</f>
        <v>Basic</v>
      </c>
      <c r="N215">
        <f>VLOOKUP(Invoices[[#This Row],[Part  '#]],Products[],4,0)</f>
        <v>17.22</v>
      </c>
      <c r="O215" t="str">
        <f>VLOOKUP(Invoices[[#This Row],[Customer Account]],Customers[],4,0)</f>
        <v>Automotive</v>
      </c>
      <c r="P215" t="str">
        <f>VLOOKUP(Invoices[[#This Row],[Customer Account]],Customers[],3,0)</f>
        <v>Alabama</v>
      </c>
      <c r="Q215" t="str">
        <f>VLOOKUP(Invoices[[#This Row],[Part  '#]],Products[],3,0)</f>
        <v>Accessories</v>
      </c>
      <c r="R215" s="25">
        <f>Invoices[[#This Row],[Quantity]]*Invoices[[#This Row],[Unit Cost]]</f>
        <v>172.2</v>
      </c>
      <c r="S215" s="25">
        <f>Invoices[[#This Row],[Quantity]]*Invoices[[#This Row],[New Unit Price]]</f>
        <v>600</v>
      </c>
      <c r="T215" s="25">
        <f>Invoices[[#This Row],[Revenue]]-Invoices[[#This Row],[Cost]]</f>
        <v>427.8</v>
      </c>
      <c r="U215" s="25" t="str">
        <f>TEXT(Invoices[[#This Row],[Date]],"MMM")</f>
        <v>Jun</v>
      </c>
      <c r="V215" s="29">
        <f>CHOOSE(MONTH(Invoices[[#This Row],[Date]]),1,1,1,2,2,2,3,3,3,4,4,4)</f>
        <v>2</v>
      </c>
      <c r="W215" s="30">
        <f>IFERROR(Invoices[[#This Row],[Profit]]/Invoices[[#This Row],[Revenue]],0)</f>
        <v>0.71299999999999997</v>
      </c>
    </row>
    <row r="216" spans="1:23" x14ac:dyDescent="0.3">
      <c r="A216" s="19" t="s">
        <v>5</v>
      </c>
      <c r="B216" s="9">
        <v>22864</v>
      </c>
      <c r="C216" s="15">
        <v>41451</v>
      </c>
      <c r="D216" s="9">
        <v>119</v>
      </c>
      <c r="E216" s="10" t="s">
        <v>87</v>
      </c>
      <c r="F216" s="8">
        <v>1</v>
      </c>
      <c r="G216" s="10"/>
      <c r="H216" s="4" t="s">
        <v>108</v>
      </c>
      <c r="I216" s="4" t="s">
        <v>23</v>
      </c>
      <c r="J216" s="4">
        <v>5</v>
      </c>
      <c r="K216" s="23">
        <v>2700</v>
      </c>
      <c r="L216">
        <f>IF(Invoices[[#This Row],[Document Type]]="Return",Invoices[[#This Row],[Unit Price]]*-1,Invoices[[#This Row],[Unit Price]])</f>
        <v>2700</v>
      </c>
      <c r="M216" t="str">
        <f>IF(Invoices[[#This Row],[New Unit Price]]&lt;0,"Return",
IF(Invoices[[#This Row],[New Unit Price]]=0,"Free",IF(Invoices[[#This Row],[New Unit Price]]&lt;100,"Basic","Premium")))</f>
        <v>Premium</v>
      </c>
      <c r="N216">
        <f>VLOOKUP(Invoices[[#This Row],[Part  '#]],Products[],4,0)</f>
        <v>1440.45</v>
      </c>
      <c r="O216" t="str">
        <f>VLOOKUP(Invoices[[#This Row],[Customer Account]],Customers[],4,0)</f>
        <v>Financial</v>
      </c>
      <c r="P216" t="str">
        <f>VLOOKUP(Invoices[[#This Row],[Customer Account]],Customers[],3,0)</f>
        <v>Georgia</v>
      </c>
      <c r="Q216" t="str">
        <f>VLOOKUP(Invoices[[#This Row],[Part  '#]],Products[],3,0)</f>
        <v>Product</v>
      </c>
      <c r="R216" s="25">
        <f>Invoices[[#This Row],[Quantity]]*Invoices[[#This Row],[Unit Cost]]</f>
        <v>7202.25</v>
      </c>
      <c r="S216" s="25">
        <f>Invoices[[#This Row],[Quantity]]*Invoices[[#This Row],[New Unit Price]]</f>
        <v>13500</v>
      </c>
      <c r="T216" s="25">
        <f>Invoices[[#This Row],[Revenue]]-Invoices[[#This Row],[Cost]]</f>
        <v>6297.75</v>
      </c>
      <c r="U216" s="25" t="str">
        <f>TEXT(Invoices[[#This Row],[Date]],"MMM")</f>
        <v>Jun</v>
      </c>
      <c r="V216" s="29">
        <f>CHOOSE(MONTH(Invoices[[#This Row],[Date]]),1,1,1,2,2,2,3,3,3,4,4,4)</f>
        <v>2</v>
      </c>
      <c r="W216" s="30">
        <f>IFERROR(Invoices[[#This Row],[Profit]]/Invoices[[#This Row],[Revenue]],0)</f>
        <v>0.46650000000000003</v>
      </c>
    </row>
    <row r="217" spans="1:23" x14ac:dyDescent="0.3">
      <c r="A217" s="19" t="s">
        <v>5</v>
      </c>
      <c r="B217" s="9">
        <v>22864</v>
      </c>
      <c r="C217" s="15">
        <v>41451</v>
      </c>
      <c r="D217" s="9">
        <v>119</v>
      </c>
      <c r="E217" s="10" t="s">
        <v>87</v>
      </c>
      <c r="F217" s="8">
        <v>2</v>
      </c>
      <c r="G217" s="10"/>
      <c r="H217" s="4" t="s">
        <v>137</v>
      </c>
      <c r="I217" s="4" t="s">
        <v>31</v>
      </c>
      <c r="J217" s="4">
        <v>5</v>
      </c>
      <c r="K217" s="23">
        <v>0</v>
      </c>
      <c r="L217">
        <f>IF(Invoices[[#This Row],[Document Type]]="Return",Invoices[[#This Row],[Unit Price]]*-1,Invoices[[#This Row],[Unit Price]])</f>
        <v>0</v>
      </c>
      <c r="M217" t="str">
        <f>IF(Invoices[[#This Row],[New Unit Price]]&lt;0,"Return",
IF(Invoices[[#This Row],[New Unit Price]]=0,"Free",IF(Invoices[[#This Row],[New Unit Price]]&lt;100,"Basic","Premium")))</f>
        <v>Free</v>
      </c>
      <c r="N217">
        <f>VLOOKUP(Invoices[[#This Row],[Part  '#]],Products[],4,0)</f>
        <v>6.3</v>
      </c>
      <c r="O217" t="str">
        <f>VLOOKUP(Invoices[[#This Row],[Customer Account]],Customers[],4,0)</f>
        <v>Financial</v>
      </c>
      <c r="P217" t="str">
        <f>VLOOKUP(Invoices[[#This Row],[Customer Account]],Customers[],3,0)</f>
        <v>Georgia</v>
      </c>
      <c r="Q217" t="str">
        <f>VLOOKUP(Invoices[[#This Row],[Part  '#]],Products[],3,0)</f>
        <v>Accessories</v>
      </c>
      <c r="R217" s="25">
        <f>Invoices[[#This Row],[Quantity]]*Invoices[[#This Row],[Unit Cost]]</f>
        <v>31.5</v>
      </c>
      <c r="S217" s="25">
        <f>Invoices[[#This Row],[Quantity]]*Invoices[[#This Row],[New Unit Price]]</f>
        <v>0</v>
      </c>
      <c r="T217" s="25">
        <f>Invoices[[#This Row],[Revenue]]-Invoices[[#This Row],[Cost]]</f>
        <v>-31.5</v>
      </c>
      <c r="U217" s="25" t="str">
        <f>TEXT(Invoices[[#This Row],[Date]],"MMM")</f>
        <v>Jun</v>
      </c>
      <c r="V217" s="29">
        <f>CHOOSE(MONTH(Invoices[[#This Row],[Date]]),1,1,1,2,2,2,3,3,3,4,4,4)</f>
        <v>2</v>
      </c>
      <c r="W217" s="30">
        <f>IFERROR(Invoices[[#This Row],[Profit]]/Invoices[[#This Row],[Revenue]],0)</f>
        <v>0</v>
      </c>
    </row>
    <row r="218" spans="1:23" x14ac:dyDescent="0.3">
      <c r="A218" s="19" t="s">
        <v>5</v>
      </c>
      <c r="B218" s="9">
        <v>22864</v>
      </c>
      <c r="C218" s="15">
        <v>41451</v>
      </c>
      <c r="D218" s="9">
        <v>119</v>
      </c>
      <c r="E218" s="10" t="s">
        <v>87</v>
      </c>
      <c r="F218" s="8">
        <v>3</v>
      </c>
      <c r="G218" s="10"/>
      <c r="H218" s="4" t="s">
        <v>117</v>
      </c>
      <c r="I218" s="4" t="s">
        <v>33</v>
      </c>
      <c r="J218" s="4">
        <v>5</v>
      </c>
      <c r="K218" s="23">
        <v>0</v>
      </c>
      <c r="L218">
        <f>IF(Invoices[[#This Row],[Document Type]]="Return",Invoices[[#This Row],[Unit Price]]*-1,Invoices[[#This Row],[Unit Price]])</f>
        <v>0</v>
      </c>
      <c r="M218" t="str">
        <f>IF(Invoices[[#This Row],[New Unit Price]]&lt;0,"Return",
IF(Invoices[[#This Row],[New Unit Price]]=0,"Free",IF(Invoices[[#This Row],[New Unit Price]]&lt;100,"Basic","Premium")))</f>
        <v>Free</v>
      </c>
      <c r="N218">
        <f>VLOOKUP(Invoices[[#This Row],[Part  '#]],Products[],4,0)</f>
        <v>11.59</v>
      </c>
      <c r="O218" t="str">
        <f>VLOOKUP(Invoices[[#This Row],[Customer Account]],Customers[],4,0)</f>
        <v>Financial</v>
      </c>
      <c r="P218" t="str">
        <f>VLOOKUP(Invoices[[#This Row],[Customer Account]],Customers[],3,0)</f>
        <v>Georgia</v>
      </c>
      <c r="Q218" t="str">
        <f>VLOOKUP(Invoices[[#This Row],[Part  '#]],Products[],3,0)</f>
        <v>Accessories</v>
      </c>
      <c r="R218" s="25">
        <f>Invoices[[#This Row],[Quantity]]*Invoices[[#This Row],[Unit Cost]]</f>
        <v>57.95</v>
      </c>
      <c r="S218" s="25">
        <f>Invoices[[#This Row],[Quantity]]*Invoices[[#This Row],[New Unit Price]]</f>
        <v>0</v>
      </c>
      <c r="T218" s="25">
        <f>Invoices[[#This Row],[Revenue]]-Invoices[[#This Row],[Cost]]</f>
        <v>-57.95</v>
      </c>
      <c r="U218" s="25" t="str">
        <f>TEXT(Invoices[[#This Row],[Date]],"MMM")</f>
        <v>Jun</v>
      </c>
      <c r="V218" s="29">
        <f>CHOOSE(MONTH(Invoices[[#This Row],[Date]]),1,1,1,2,2,2,3,3,3,4,4,4)</f>
        <v>2</v>
      </c>
      <c r="W218" s="30">
        <f>IFERROR(Invoices[[#This Row],[Profit]]/Invoices[[#This Row],[Revenue]],0)</f>
        <v>0</v>
      </c>
    </row>
    <row r="219" spans="1:23" x14ac:dyDescent="0.3">
      <c r="A219" s="19" t="s">
        <v>5</v>
      </c>
      <c r="B219" s="9">
        <v>22864</v>
      </c>
      <c r="C219" s="15">
        <v>41451</v>
      </c>
      <c r="D219" s="9">
        <v>119</v>
      </c>
      <c r="E219" s="10" t="s">
        <v>87</v>
      </c>
      <c r="F219" s="8">
        <v>4</v>
      </c>
      <c r="G219" s="10"/>
      <c r="H219" s="4" t="s">
        <v>119</v>
      </c>
      <c r="I219" s="4" t="s">
        <v>43</v>
      </c>
      <c r="J219" s="4">
        <v>5</v>
      </c>
      <c r="K219" s="23">
        <v>0</v>
      </c>
      <c r="L219">
        <f>IF(Invoices[[#This Row],[Document Type]]="Return",Invoices[[#This Row],[Unit Price]]*-1,Invoices[[#This Row],[Unit Price]])</f>
        <v>0</v>
      </c>
      <c r="M219" t="str">
        <f>IF(Invoices[[#This Row],[New Unit Price]]&lt;0,"Return",
IF(Invoices[[#This Row],[New Unit Price]]=0,"Free",IF(Invoices[[#This Row],[New Unit Price]]&lt;100,"Basic","Premium")))</f>
        <v>Free</v>
      </c>
      <c r="N219">
        <f>VLOOKUP(Invoices[[#This Row],[Part  '#]],Products[],4,0)</f>
        <v>17.22</v>
      </c>
      <c r="O219" t="str">
        <f>VLOOKUP(Invoices[[#This Row],[Customer Account]],Customers[],4,0)</f>
        <v>Financial</v>
      </c>
      <c r="P219" t="str">
        <f>VLOOKUP(Invoices[[#This Row],[Customer Account]],Customers[],3,0)</f>
        <v>Georgia</v>
      </c>
      <c r="Q219" t="str">
        <f>VLOOKUP(Invoices[[#This Row],[Part  '#]],Products[],3,0)</f>
        <v>Accessories</v>
      </c>
      <c r="R219" s="25">
        <f>Invoices[[#This Row],[Quantity]]*Invoices[[#This Row],[Unit Cost]]</f>
        <v>86.1</v>
      </c>
      <c r="S219" s="25">
        <f>Invoices[[#This Row],[Quantity]]*Invoices[[#This Row],[New Unit Price]]</f>
        <v>0</v>
      </c>
      <c r="T219" s="25">
        <f>Invoices[[#This Row],[Revenue]]-Invoices[[#This Row],[Cost]]</f>
        <v>-86.1</v>
      </c>
      <c r="U219" s="25" t="str">
        <f>TEXT(Invoices[[#This Row],[Date]],"MMM")</f>
        <v>Jun</v>
      </c>
      <c r="V219" s="29">
        <f>CHOOSE(MONTH(Invoices[[#This Row],[Date]]),1,1,1,2,2,2,3,3,3,4,4,4)</f>
        <v>2</v>
      </c>
      <c r="W219" s="30">
        <f>IFERROR(Invoices[[#This Row],[Profit]]/Invoices[[#This Row],[Revenue]],0)</f>
        <v>0</v>
      </c>
    </row>
    <row r="220" spans="1:23" x14ac:dyDescent="0.3">
      <c r="A220" s="19" t="s">
        <v>5</v>
      </c>
      <c r="B220" s="9">
        <v>22864</v>
      </c>
      <c r="C220" s="15">
        <v>41451</v>
      </c>
      <c r="D220" s="9">
        <v>119</v>
      </c>
      <c r="E220" s="10" t="s">
        <v>87</v>
      </c>
      <c r="F220" s="8">
        <v>5</v>
      </c>
      <c r="G220" s="10"/>
      <c r="H220" s="4" t="s">
        <v>135</v>
      </c>
      <c r="I220" s="4" t="s">
        <v>52</v>
      </c>
      <c r="J220" s="4">
        <v>5</v>
      </c>
      <c r="K220" s="23">
        <v>100</v>
      </c>
      <c r="L220">
        <f>IF(Invoices[[#This Row],[Document Type]]="Return",Invoices[[#This Row],[Unit Price]]*-1,Invoices[[#This Row],[Unit Price]])</f>
        <v>100</v>
      </c>
      <c r="M220" t="str">
        <f>IF(Invoices[[#This Row],[New Unit Price]]&lt;0,"Return",
IF(Invoices[[#This Row],[New Unit Price]]=0,"Free",IF(Invoices[[#This Row],[New Unit Price]]&lt;100,"Basic","Premium")))</f>
        <v>Premium</v>
      </c>
      <c r="N220">
        <f>VLOOKUP(Invoices[[#This Row],[Part  '#]],Products[],4,0)</f>
        <v>27.17</v>
      </c>
      <c r="O220" t="str">
        <f>VLOOKUP(Invoices[[#This Row],[Customer Account]],Customers[],4,0)</f>
        <v>Financial</v>
      </c>
      <c r="P220" t="str">
        <f>VLOOKUP(Invoices[[#This Row],[Customer Account]],Customers[],3,0)</f>
        <v>Georgia</v>
      </c>
      <c r="Q220" t="str">
        <f>VLOOKUP(Invoices[[#This Row],[Part  '#]],Products[],3,0)</f>
        <v>Consumables</v>
      </c>
      <c r="R220" s="25">
        <f>Invoices[[#This Row],[Quantity]]*Invoices[[#This Row],[Unit Cost]]</f>
        <v>135.85000000000002</v>
      </c>
      <c r="S220" s="25">
        <f>Invoices[[#This Row],[Quantity]]*Invoices[[#This Row],[New Unit Price]]</f>
        <v>500</v>
      </c>
      <c r="T220" s="25">
        <f>Invoices[[#This Row],[Revenue]]-Invoices[[#This Row],[Cost]]</f>
        <v>364.15</v>
      </c>
      <c r="U220" s="25" t="str">
        <f>TEXT(Invoices[[#This Row],[Date]],"MMM")</f>
        <v>Jun</v>
      </c>
      <c r="V220" s="29">
        <f>CHOOSE(MONTH(Invoices[[#This Row],[Date]]),1,1,1,2,2,2,3,3,3,4,4,4)</f>
        <v>2</v>
      </c>
      <c r="W220" s="30">
        <f>IFERROR(Invoices[[#This Row],[Profit]]/Invoices[[#This Row],[Revenue]],0)</f>
        <v>0.72829999999999995</v>
      </c>
    </row>
    <row r="221" spans="1:23" x14ac:dyDescent="0.3">
      <c r="A221" s="19" t="s">
        <v>5</v>
      </c>
      <c r="B221" s="9">
        <v>22864</v>
      </c>
      <c r="C221" s="15">
        <v>41451</v>
      </c>
      <c r="D221" s="9">
        <v>119</v>
      </c>
      <c r="E221" s="10" t="s">
        <v>87</v>
      </c>
      <c r="F221" s="8">
        <v>6</v>
      </c>
      <c r="G221" s="10"/>
      <c r="H221" s="4" t="s">
        <v>136</v>
      </c>
      <c r="I221" s="4" t="s">
        <v>53</v>
      </c>
      <c r="J221" s="4">
        <v>5</v>
      </c>
      <c r="K221" s="23">
        <v>140</v>
      </c>
      <c r="L221">
        <f>IF(Invoices[[#This Row],[Document Type]]="Return",Invoices[[#This Row],[Unit Price]]*-1,Invoices[[#This Row],[Unit Price]])</f>
        <v>140</v>
      </c>
      <c r="M221" t="str">
        <f>IF(Invoices[[#This Row],[New Unit Price]]&lt;0,"Return",
IF(Invoices[[#This Row],[New Unit Price]]=0,"Free",IF(Invoices[[#This Row],[New Unit Price]]&lt;100,"Basic","Premium")))</f>
        <v>Premium</v>
      </c>
      <c r="N221">
        <f>VLOOKUP(Invoices[[#This Row],[Part  '#]],Products[],4,0)</f>
        <v>34.299999999999997</v>
      </c>
      <c r="O221" t="str">
        <f>VLOOKUP(Invoices[[#This Row],[Customer Account]],Customers[],4,0)</f>
        <v>Financial</v>
      </c>
      <c r="P221" t="str">
        <f>VLOOKUP(Invoices[[#This Row],[Customer Account]],Customers[],3,0)</f>
        <v>Georgia</v>
      </c>
      <c r="Q221" t="str">
        <f>VLOOKUP(Invoices[[#This Row],[Part  '#]],Products[],3,0)</f>
        <v>Consumables</v>
      </c>
      <c r="R221" s="25">
        <f>Invoices[[#This Row],[Quantity]]*Invoices[[#This Row],[Unit Cost]]</f>
        <v>171.5</v>
      </c>
      <c r="S221" s="25">
        <f>Invoices[[#This Row],[Quantity]]*Invoices[[#This Row],[New Unit Price]]</f>
        <v>700</v>
      </c>
      <c r="T221" s="25">
        <f>Invoices[[#This Row],[Revenue]]-Invoices[[#This Row],[Cost]]</f>
        <v>528.5</v>
      </c>
      <c r="U221" s="25" t="str">
        <f>TEXT(Invoices[[#This Row],[Date]],"MMM")</f>
        <v>Jun</v>
      </c>
      <c r="V221" s="29">
        <f>CHOOSE(MONTH(Invoices[[#This Row],[Date]]),1,1,1,2,2,2,3,3,3,4,4,4)</f>
        <v>2</v>
      </c>
      <c r="W221" s="30">
        <f>IFERROR(Invoices[[#This Row],[Profit]]/Invoices[[#This Row],[Revenue]],0)</f>
        <v>0.755</v>
      </c>
    </row>
    <row r="222" spans="1:23" x14ac:dyDescent="0.3">
      <c r="A222" s="19" t="s">
        <v>5</v>
      </c>
      <c r="B222" s="9">
        <v>22864</v>
      </c>
      <c r="C222" s="15">
        <v>41451</v>
      </c>
      <c r="D222" s="9">
        <v>119</v>
      </c>
      <c r="E222" s="10" t="s">
        <v>87</v>
      </c>
      <c r="F222" s="8">
        <v>7</v>
      </c>
      <c r="G222" s="10"/>
      <c r="H222" s="4" t="s">
        <v>128</v>
      </c>
      <c r="I222" s="4" t="s">
        <v>45</v>
      </c>
      <c r="J222" s="4">
        <v>5</v>
      </c>
      <c r="K222" s="23">
        <v>25</v>
      </c>
      <c r="L222">
        <f>IF(Invoices[[#This Row],[Document Type]]="Return",Invoices[[#This Row],[Unit Price]]*-1,Invoices[[#This Row],[Unit Price]])</f>
        <v>25</v>
      </c>
      <c r="M222" t="str">
        <f>IF(Invoices[[#This Row],[New Unit Price]]&lt;0,"Return",
IF(Invoices[[#This Row],[New Unit Price]]=0,"Free",IF(Invoices[[#This Row],[New Unit Price]]&lt;100,"Basic","Premium")))</f>
        <v>Basic</v>
      </c>
      <c r="N222">
        <f>VLOOKUP(Invoices[[#This Row],[Part  '#]],Products[],4,0)</f>
        <v>5.16</v>
      </c>
      <c r="O222" t="str">
        <f>VLOOKUP(Invoices[[#This Row],[Customer Account]],Customers[],4,0)</f>
        <v>Financial</v>
      </c>
      <c r="P222" t="str">
        <f>VLOOKUP(Invoices[[#This Row],[Customer Account]],Customers[],3,0)</f>
        <v>Georgia</v>
      </c>
      <c r="Q222" t="str">
        <f>VLOOKUP(Invoices[[#This Row],[Part  '#]],Products[],3,0)</f>
        <v>Consumables</v>
      </c>
      <c r="R222" s="25">
        <f>Invoices[[#This Row],[Quantity]]*Invoices[[#This Row],[Unit Cost]]</f>
        <v>25.8</v>
      </c>
      <c r="S222" s="25">
        <f>Invoices[[#This Row],[Quantity]]*Invoices[[#This Row],[New Unit Price]]</f>
        <v>125</v>
      </c>
      <c r="T222" s="25">
        <f>Invoices[[#This Row],[Revenue]]-Invoices[[#This Row],[Cost]]</f>
        <v>99.2</v>
      </c>
      <c r="U222" s="25" t="str">
        <f>TEXT(Invoices[[#This Row],[Date]],"MMM")</f>
        <v>Jun</v>
      </c>
      <c r="V222" s="29">
        <f>CHOOSE(MONTH(Invoices[[#This Row],[Date]]),1,1,1,2,2,2,3,3,3,4,4,4)</f>
        <v>2</v>
      </c>
      <c r="W222" s="30">
        <f>IFERROR(Invoices[[#This Row],[Profit]]/Invoices[[#This Row],[Revenue]],0)</f>
        <v>0.79359999999999997</v>
      </c>
    </row>
    <row r="223" spans="1:23" x14ac:dyDescent="0.3">
      <c r="A223" s="19" t="s">
        <v>5</v>
      </c>
      <c r="B223" s="9">
        <v>22864</v>
      </c>
      <c r="C223" s="15">
        <v>41451</v>
      </c>
      <c r="D223" s="9">
        <v>119</v>
      </c>
      <c r="E223" s="10" t="s">
        <v>87</v>
      </c>
      <c r="F223" s="8">
        <v>8</v>
      </c>
      <c r="G223" s="10"/>
      <c r="H223" s="4" t="s">
        <v>130</v>
      </c>
      <c r="I223" s="4" t="s">
        <v>47</v>
      </c>
      <c r="J223" s="4">
        <v>5</v>
      </c>
      <c r="K223" s="23">
        <v>24</v>
      </c>
      <c r="L223">
        <f>IF(Invoices[[#This Row],[Document Type]]="Return",Invoices[[#This Row],[Unit Price]]*-1,Invoices[[#This Row],[Unit Price]])</f>
        <v>24</v>
      </c>
      <c r="M223" t="str">
        <f>IF(Invoices[[#This Row],[New Unit Price]]&lt;0,"Return",
IF(Invoices[[#This Row],[New Unit Price]]=0,"Free",IF(Invoices[[#This Row],[New Unit Price]]&lt;100,"Basic","Premium")))</f>
        <v>Basic</v>
      </c>
      <c r="N223">
        <f>VLOOKUP(Invoices[[#This Row],[Part  '#]],Products[],4,0)</f>
        <v>7.09</v>
      </c>
      <c r="O223" t="str">
        <f>VLOOKUP(Invoices[[#This Row],[Customer Account]],Customers[],4,0)</f>
        <v>Financial</v>
      </c>
      <c r="P223" t="str">
        <f>VLOOKUP(Invoices[[#This Row],[Customer Account]],Customers[],3,0)</f>
        <v>Georgia</v>
      </c>
      <c r="Q223" t="str">
        <f>VLOOKUP(Invoices[[#This Row],[Part  '#]],Products[],3,0)</f>
        <v>Consumables</v>
      </c>
      <c r="R223" s="25">
        <f>Invoices[[#This Row],[Quantity]]*Invoices[[#This Row],[Unit Cost]]</f>
        <v>35.450000000000003</v>
      </c>
      <c r="S223" s="25">
        <f>Invoices[[#This Row],[Quantity]]*Invoices[[#This Row],[New Unit Price]]</f>
        <v>120</v>
      </c>
      <c r="T223" s="25">
        <f>Invoices[[#This Row],[Revenue]]-Invoices[[#This Row],[Cost]]</f>
        <v>84.55</v>
      </c>
      <c r="U223" s="25" t="str">
        <f>TEXT(Invoices[[#This Row],[Date]],"MMM")</f>
        <v>Jun</v>
      </c>
      <c r="V223" s="29">
        <f>CHOOSE(MONTH(Invoices[[#This Row],[Date]]),1,1,1,2,2,2,3,3,3,4,4,4)</f>
        <v>2</v>
      </c>
      <c r="W223" s="30">
        <f>IFERROR(Invoices[[#This Row],[Profit]]/Invoices[[#This Row],[Revenue]],0)</f>
        <v>0.70458333333333334</v>
      </c>
    </row>
    <row r="224" spans="1:23" x14ac:dyDescent="0.3">
      <c r="A224" s="19" t="s">
        <v>141</v>
      </c>
      <c r="B224" s="9">
        <v>22865</v>
      </c>
      <c r="C224" s="15">
        <v>41454</v>
      </c>
      <c r="D224" s="9">
        <v>119</v>
      </c>
      <c r="E224" s="10" t="s">
        <v>87</v>
      </c>
      <c r="F224" s="9">
        <v>1</v>
      </c>
      <c r="G224" s="10" t="s">
        <v>139</v>
      </c>
      <c r="H224" s="9" t="s">
        <v>108</v>
      </c>
      <c r="I224" s="4" t="s">
        <v>23</v>
      </c>
      <c r="J224" s="4">
        <v>1</v>
      </c>
      <c r="K224" s="23">
        <v>2700</v>
      </c>
      <c r="L224">
        <f>IF(Invoices[[#This Row],[Document Type]]="Return",Invoices[[#This Row],[Unit Price]]*-1,Invoices[[#This Row],[Unit Price]])</f>
        <v>-2700</v>
      </c>
      <c r="M224" t="str">
        <f>IF(Invoices[[#This Row],[New Unit Price]]&lt;0,"Return",
IF(Invoices[[#This Row],[New Unit Price]]=0,"Free",IF(Invoices[[#This Row],[New Unit Price]]&lt;100,"Basic","Premium")))</f>
        <v>Return</v>
      </c>
      <c r="N224">
        <f>VLOOKUP(Invoices[[#This Row],[Part  '#]],Products[],4,0)</f>
        <v>1440.45</v>
      </c>
      <c r="O224" t="str">
        <f>VLOOKUP(Invoices[[#This Row],[Customer Account]],Customers[],4,0)</f>
        <v>Financial</v>
      </c>
      <c r="P224" t="str">
        <f>VLOOKUP(Invoices[[#This Row],[Customer Account]],Customers[],3,0)</f>
        <v>Georgia</v>
      </c>
      <c r="Q224" t="str">
        <f>VLOOKUP(Invoices[[#This Row],[Part  '#]],Products[],3,0)</f>
        <v>Product</v>
      </c>
      <c r="R224" s="25">
        <f>Invoices[[#This Row],[Quantity]]*Invoices[[#This Row],[Unit Cost]]</f>
        <v>1440.45</v>
      </c>
      <c r="S224" s="25">
        <f>Invoices[[#This Row],[Quantity]]*Invoices[[#This Row],[New Unit Price]]</f>
        <v>-2700</v>
      </c>
      <c r="T224" s="25">
        <f>Invoices[[#This Row],[Revenue]]-Invoices[[#This Row],[Cost]]</f>
        <v>-4140.45</v>
      </c>
      <c r="U224" s="25" t="str">
        <f>TEXT(Invoices[[#This Row],[Date]],"MMM")</f>
        <v>Jun</v>
      </c>
      <c r="V224" s="29">
        <f>CHOOSE(MONTH(Invoices[[#This Row],[Date]]),1,1,1,2,2,2,3,3,3,4,4,4)</f>
        <v>2</v>
      </c>
      <c r="W224" s="30">
        <f>IFERROR(Invoices[[#This Row],[Profit]]/Invoices[[#This Row],[Revenue]],0)</f>
        <v>1.5334999999999999</v>
      </c>
    </row>
    <row r="225" spans="1:23" x14ac:dyDescent="0.3">
      <c r="A225" s="19" t="s">
        <v>5</v>
      </c>
      <c r="B225" s="9">
        <v>22866</v>
      </c>
      <c r="C225" s="15">
        <v>41454</v>
      </c>
      <c r="D225" s="9">
        <v>119</v>
      </c>
      <c r="E225" s="10" t="s">
        <v>87</v>
      </c>
      <c r="F225" s="9">
        <v>1</v>
      </c>
      <c r="G225" s="10"/>
      <c r="H225" s="9" t="s">
        <v>108</v>
      </c>
      <c r="I225" s="4" t="s">
        <v>23</v>
      </c>
      <c r="J225" s="4">
        <v>1</v>
      </c>
      <c r="K225" s="23">
        <v>2700</v>
      </c>
      <c r="L225">
        <f>IF(Invoices[[#This Row],[Document Type]]="Return",Invoices[[#This Row],[Unit Price]]*-1,Invoices[[#This Row],[Unit Price]])</f>
        <v>2700</v>
      </c>
      <c r="M225" t="str">
        <f>IF(Invoices[[#This Row],[New Unit Price]]&lt;0,"Return",
IF(Invoices[[#This Row],[New Unit Price]]=0,"Free",IF(Invoices[[#This Row],[New Unit Price]]&lt;100,"Basic","Premium")))</f>
        <v>Premium</v>
      </c>
      <c r="N225">
        <f>VLOOKUP(Invoices[[#This Row],[Part  '#]],Products[],4,0)</f>
        <v>1440.45</v>
      </c>
      <c r="O225" t="str">
        <f>VLOOKUP(Invoices[[#This Row],[Customer Account]],Customers[],4,0)</f>
        <v>Financial</v>
      </c>
      <c r="P225" t="str">
        <f>VLOOKUP(Invoices[[#This Row],[Customer Account]],Customers[],3,0)</f>
        <v>Georgia</v>
      </c>
      <c r="Q225" t="str">
        <f>VLOOKUP(Invoices[[#This Row],[Part  '#]],Products[],3,0)</f>
        <v>Product</v>
      </c>
      <c r="R225" s="25">
        <f>Invoices[[#This Row],[Quantity]]*Invoices[[#This Row],[Unit Cost]]</f>
        <v>1440.45</v>
      </c>
      <c r="S225" s="25">
        <f>Invoices[[#This Row],[Quantity]]*Invoices[[#This Row],[New Unit Price]]</f>
        <v>2700</v>
      </c>
      <c r="T225" s="25">
        <f>Invoices[[#This Row],[Revenue]]-Invoices[[#This Row],[Cost]]</f>
        <v>1259.55</v>
      </c>
      <c r="U225" s="25" t="str">
        <f>TEXT(Invoices[[#This Row],[Date]],"MMM")</f>
        <v>Jun</v>
      </c>
      <c r="V225" s="29">
        <f>CHOOSE(MONTH(Invoices[[#This Row],[Date]]),1,1,1,2,2,2,3,3,3,4,4,4)</f>
        <v>2</v>
      </c>
      <c r="W225" s="30">
        <f>IFERROR(Invoices[[#This Row],[Profit]]/Invoices[[#This Row],[Revenue]],0)</f>
        <v>0.46649999999999997</v>
      </c>
    </row>
    <row r="226" spans="1:23" x14ac:dyDescent="0.3">
      <c r="A226" s="19" t="s">
        <v>5</v>
      </c>
      <c r="B226" s="9">
        <v>22867</v>
      </c>
      <c r="C226" s="15">
        <v>41456</v>
      </c>
      <c r="D226" s="9">
        <v>101</v>
      </c>
      <c r="E226" s="10" t="s">
        <v>61</v>
      </c>
      <c r="F226" s="8">
        <v>1</v>
      </c>
      <c r="G226" s="10"/>
      <c r="H226" s="4" t="s">
        <v>125</v>
      </c>
      <c r="I226" s="4" t="s">
        <v>40</v>
      </c>
      <c r="J226" s="4">
        <v>120</v>
      </c>
      <c r="K226" s="23">
        <v>24</v>
      </c>
      <c r="L226">
        <f>IF(Invoices[[#This Row],[Document Type]]="Return",Invoices[[#This Row],[Unit Price]]*-1,Invoices[[#This Row],[Unit Price]])</f>
        <v>24</v>
      </c>
      <c r="M226" t="str">
        <f>IF(Invoices[[#This Row],[New Unit Price]]&lt;0,"Return",
IF(Invoices[[#This Row],[New Unit Price]]=0,"Free",IF(Invoices[[#This Row],[New Unit Price]]&lt;100,"Basic","Premium")))</f>
        <v>Basic</v>
      </c>
      <c r="N226">
        <f>VLOOKUP(Invoices[[#This Row],[Part  '#]],Products[],4,0)</f>
        <v>6.9</v>
      </c>
      <c r="O226" t="str">
        <f>VLOOKUP(Invoices[[#This Row],[Customer Account]],Customers[],4,0)</f>
        <v>Automotive</v>
      </c>
      <c r="P226" t="str">
        <f>VLOOKUP(Invoices[[#This Row],[Customer Account]],Customers[],3,0)</f>
        <v>Georgia</v>
      </c>
      <c r="Q226" t="str">
        <f>VLOOKUP(Invoices[[#This Row],[Part  '#]],Products[],3,0)</f>
        <v>Consumables</v>
      </c>
      <c r="R226" s="25">
        <f>Invoices[[#This Row],[Quantity]]*Invoices[[#This Row],[Unit Cost]]</f>
        <v>828</v>
      </c>
      <c r="S226" s="25">
        <f>Invoices[[#This Row],[Quantity]]*Invoices[[#This Row],[New Unit Price]]</f>
        <v>2880</v>
      </c>
      <c r="T226" s="25">
        <f>Invoices[[#This Row],[Revenue]]-Invoices[[#This Row],[Cost]]</f>
        <v>2052</v>
      </c>
      <c r="U226" s="25" t="str">
        <f>TEXT(Invoices[[#This Row],[Date]],"MMM")</f>
        <v>Jul</v>
      </c>
      <c r="V226" s="29">
        <f>CHOOSE(MONTH(Invoices[[#This Row],[Date]]),1,1,1,2,2,2,3,3,3,4,4,4)</f>
        <v>3</v>
      </c>
      <c r="W226" s="30">
        <f>IFERROR(Invoices[[#This Row],[Profit]]/Invoices[[#This Row],[Revenue]],0)</f>
        <v>0.71250000000000002</v>
      </c>
    </row>
    <row r="227" spans="1:23" x14ac:dyDescent="0.3">
      <c r="A227" s="19" t="s">
        <v>5</v>
      </c>
      <c r="B227" s="9">
        <v>22867</v>
      </c>
      <c r="C227" s="15">
        <v>41456</v>
      </c>
      <c r="D227" s="9">
        <v>101</v>
      </c>
      <c r="E227" s="10" t="s">
        <v>61</v>
      </c>
      <c r="F227" s="8">
        <v>2</v>
      </c>
      <c r="G227" s="10"/>
      <c r="H227" s="4" t="s">
        <v>132</v>
      </c>
      <c r="I227" s="4" t="s">
        <v>49</v>
      </c>
      <c r="J227" s="4">
        <v>12</v>
      </c>
      <c r="K227" s="23">
        <v>70</v>
      </c>
      <c r="L227">
        <f>IF(Invoices[[#This Row],[Document Type]]="Return",Invoices[[#This Row],[Unit Price]]*-1,Invoices[[#This Row],[Unit Price]])</f>
        <v>70</v>
      </c>
      <c r="M227" t="str">
        <f>IF(Invoices[[#This Row],[New Unit Price]]&lt;0,"Return",
IF(Invoices[[#This Row],[New Unit Price]]=0,"Free",IF(Invoices[[#This Row],[New Unit Price]]&lt;100,"Basic","Premium")))</f>
        <v>Basic</v>
      </c>
      <c r="N227">
        <f>VLOOKUP(Invoices[[#This Row],[Part  '#]],Products[],4,0)</f>
        <v>13.92</v>
      </c>
      <c r="O227" t="str">
        <f>VLOOKUP(Invoices[[#This Row],[Customer Account]],Customers[],4,0)</f>
        <v>Automotive</v>
      </c>
      <c r="P227" t="str">
        <f>VLOOKUP(Invoices[[#This Row],[Customer Account]],Customers[],3,0)</f>
        <v>Georgia</v>
      </c>
      <c r="Q227" t="str">
        <f>VLOOKUP(Invoices[[#This Row],[Part  '#]],Products[],3,0)</f>
        <v>Consumables</v>
      </c>
      <c r="R227" s="25">
        <f>Invoices[[#This Row],[Quantity]]*Invoices[[#This Row],[Unit Cost]]</f>
        <v>167.04</v>
      </c>
      <c r="S227" s="25">
        <f>Invoices[[#This Row],[Quantity]]*Invoices[[#This Row],[New Unit Price]]</f>
        <v>840</v>
      </c>
      <c r="T227" s="25">
        <f>Invoices[[#This Row],[Revenue]]-Invoices[[#This Row],[Cost]]</f>
        <v>672.96</v>
      </c>
      <c r="U227" s="25" t="str">
        <f>TEXT(Invoices[[#This Row],[Date]],"MMM")</f>
        <v>Jul</v>
      </c>
      <c r="V227" s="29">
        <f>CHOOSE(MONTH(Invoices[[#This Row],[Date]]),1,1,1,2,2,2,3,3,3,4,4,4)</f>
        <v>3</v>
      </c>
      <c r="W227" s="30">
        <f>IFERROR(Invoices[[#This Row],[Profit]]/Invoices[[#This Row],[Revenue]],0)</f>
        <v>0.80114285714285716</v>
      </c>
    </row>
    <row r="228" spans="1:23" x14ac:dyDescent="0.3">
      <c r="A228" s="19" t="s">
        <v>5</v>
      </c>
      <c r="B228" s="9">
        <v>22868</v>
      </c>
      <c r="C228" s="15">
        <v>41456</v>
      </c>
      <c r="D228" s="9">
        <v>105</v>
      </c>
      <c r="E228" s="10" t="s">
        <v>67</v>
      </c>
      <c r="F228" s="8">
        <v>1</v>
      </c>
      <c r="G228" s="10"/>
      <c r="H228" s="4" t="s">
        <v>125</v>
      </c>
      <c r="I228" s="4" t="s">
        <v>40</v>
      </c>
      <c r="J228" s="4">
        <v>120</v>
      </c>
      <c r="K228" s="23">
        <v>24</v>
      </c>
      <c r="L228">
        <f>IF(Invoices[[#This Row],[Document Type]]="Return",Invoices[[#This Row],[Unit Price]]*-1,Invoices[[#This Row],[Unit Price]])</f>
        <v>24</v>
      </c>
      <c r="M228" t="str">
        <f>IF(Invoices[[#This Row],[New Unit Price]]&lt;0,"Return",
IF(Invoices[[#This Row],[New Unit Price]]=0,"Free",IF(Invoices[[#This Row],[New Unit Price]]&lt;100,"Basic","Premium")))</f>
        <v>Basic</v>
      </c>
      <c r="N228">
        <f>VLOOKUP(Invoices[[#This Row],[Part  '#]],Products[],4,0)</f>
        <v>6.9</v>
      </c>
      <c r="O228" t="str">
        <f>VLOOKUP(Invoices[[#This Row],[Customer Account]],Customers[],4,0)</f>
        <v>Automotive</v>
      </c>
      <c r="P228" t="str">
        <f>VLOOKUP(Invoices[[#This Row],[Customer Account]],Customers[],3,0)</f>
        <v>South Carolina</v>
      </c>
      <c r="Q228" t="str">
        <f>VLOOKUP(Invoices[[#This Row],[Part  '#]],Products[],3,0)</f>
        <v>Consumables</v>
      </c>
      <c r="R228" s="25">
        <f>Invoices[[#This Row],[Quantity]]*Invoices[[#This Row],[Unit Cost]]</f>
        <v>828</v>
      </c>
      <c r="S228" s="25">
        <f>Invoices[[#This Row],[Quantity]]*Invoices[[#This Row],[New Unit Price]]</f>
        <v>2880</v>
      </c>
      <c r="T228" s="25">
        <f>Invoices[[#This Row],[Revenue]]-Invoices[[#This Row],[Cost]]</f>
        <v>2052</v>
      </c>
      <c r="U228" s="25" t="str">
        <f>TEXT(Invoices[[#This Row],[Date]],"MMM")</f>
        <v>Jul</v>
      </c>
      <c r="V228" s="29">
        <f>CHOOSE(MONTH(Invoices[[#This Row],[Date]]),1,1,1,2,2,2,3,3,3,4,4,4)</f>
        <v>3</v>
      </c>
      <c r="W228" s="30">
        <f>IFERROR(Invoices[[#This Row],[Profit]]/Invoices[[#This Row],[Revenue]],0)</f>
        <v>0.71250000000000002</v>
      </c>
    </row>
    <row r="229" spans="1:23" x14ac:dyDescent="0.3">
      <c r="A229" s="19" t="s">
        <v>5</v>
      </c>
      <c r="B229" s="9">
        <v>22868</v>
      </c>
      <c r="C229" s="15">
        <v>41456</v>
      </c>
      <c r="D229" s="9">
        <v>105</v>
      </c>
      <c r="E229" s="10" t="s">
        <v>67</v>
      </c>
      <c r="F229" s="8">
        <v>2</v>
      </c>
      <c r="G229" s="10"/>
      <c r="H229" s="4" t="s">
        <v>132</v>
      </c>
      <c r="I229" s="4" t="s">
        <v>49</v>
      </c>
      <c r="J229" s="4">
        <v>50</v>
      </c>
      <c r="K229" s="23">
        <v>70</v>
      </c>
      <c r="L229">
        <f>IF(Invoices[[#This Row],[Document Type]]="Return",Invoices[[#This Row],[Unit Price]]*-1,Invoices[[#This Row],[Unit Price]])</f>
        <v>70</v>
      </c>
      <c r="M229" t="str">
        <f>IF(Invoices[[#This Row],[New Unit Price]]&lt;0,"Return",
IF(Invoices[[#This Row],[New Unit Price]]=0,"Free",IF(Invoices[[#This Row],[New Unit Price]]&lt;100,"Basic","Premium")))</f>
        <v>Basic</v>
      </c>
      <c r="N229">
        <f>VLOOKUP(Invoices[[#This Row],[Part  '#]],Products[],4,0)</f>
        <v>13.92</v>
      </c>
      <c r="O229" t="str">
        <f>VLOOKUP(Invoices[[#This Row],[Customer Account]],Customers[],4,0)</f>
        <v>Automotive</v>
      </c>
      <c r="P229" t="str">
        <f>VLOOKUP(Invoices[[#This Row],[Customer Account]],Customers[],3,0)</f>
        <v>South Carolina</v>
      </c>
      <c r="Q229" t="str">
        <f>VLOOKUP(Invoices[[#This Row],[Part  '#]],Products[],3,0)</f>
        <v>Consumables</v>
      </c>
      <c r="R229" s="25">
        <f>Invoices[[#This Row],[Quantity]]*Invoices[[#This Row],[Unit Cost]]</f>
        <v>696</v>
      </c>
      <c r="S229" s="25">
        <f>Invoices[[#This Row],[Quantity]]*Invoices[[#This Row],[New Unit Price]]</f>
        <v>3500</v>
      </c>
      <c r="T229" s="25">
        <f>Invoices[[#This Row],[Revenue]]-Invoices[[#This Row],[Cost]]</f>
        <v>2804</v>
      </c>
      <c r="U229" s="25" t="str">
        <f>TEXT(Invoices[[#This Row],[Date]],"MMM")</f>
        <v>Jul</v>
      </c>
      <c r="V229" s="29">
        <f>CHOOSE(MONTH(Invoices[[#This Row],[Date]]),1,1,1,2,2,2,3,3,3,4,4,4)</f>
        <v>3</v>
      </c>
      <c r="W229" s="30">
        <f>IFERROR(Invoices[[#This Row],[Profit]]/Invoices[[#This Row],[Revenue]],0)</f>
        <v>0.80114285714285716</v>
      </c>
    </row>
    <row r="230" spans="1:23" x14ac:dyDescent="0.3">
      <c r="A230" s="19" t="s">
        <v>5</v>
      </c>
      <c r="B230" s="9">
        <v>22869</v>
      </c>
      <c r="C230" s="15">
        <v>41456</v>
      </c>
      <c r="D230" s="9">
        <v>106</v>
      </c>
      <c r="E230" s="10" t="s">
        <v>69</v>
      </c>
      <c r="F230" s="8">
        <v>1</v>
      </c>
      <c r="G230" s="10"/>
      <c r="H230" s="4" t="s">
        <v>123</v>
      </c>
      <c r="I230" s="4" t="s">
        <v>38</v>
      </c>
      <c r="J230" s="4">
        <v>80</v>
      </c>
      <c r="K230" s="23">
        <v>18</v>
      </c>
      <c r="L230">
        <f>IF(Invoices[[#This Row],[Document Type]]="Return",Invoices[[#This Row],[Unit Price]]*-1,Invoices[[#This Row],[Unit Price]])</f>
        <v>18</v>
      </c>
      <c r="M230" t="str">
        <f>IF(Invoices[[#This Row],[New Unit Price]]&lt;0,"Return",
IF(Invoices[[#This Row],[New Unit Price]]=0,"Free",IF(Invoices[[#This Row],[New Unit Price]]&lt;100,"Basic","Premium")))</f>
        <v>Basic</v>
      </c>
      <c r="N230">
        <f>VLOOKUP(Invoices[[#This Row],[Part  '#]],Products[],4,0)</f>
        <v>4.58</v>
      </c>
      <c r="O230" t="str">
        <f>VLOOKUP(Invoices[[#This Row],[Customer Account]],Customers[],4,0)</f>
        <v>Automotive</v>
      </c>
      <c r="P230" t="str">
        <f>VLOOKUP(Invoices[[#This Row],[Customer Account]],Customers[],3,0)</f>
        <v>Tennessee</v>
      </c>
      <c r="Q230" t="str">
        <f>VLOOKUP(Invoices[[#This Row],[Part  '#]],Products[],3,0)</f>
        <v>Consumables</v>
      </c>
      <c r="R230" s="25">
        <f>Invoices[[#This Row],[Quantity]]*Invoices[[#This Row],[Unit Cost]]</f>
        <v>366.4</v>
      </c>
      <c r="S230" s="25">
        <f>Invoices[[#This Row],[Quantity]]*Invoices[[#This Row],[New Unit Price]]</f>
        <v>1440</v>
      </c>
      <c r="T230" s="25">
        <f>Invoices[[#This Row],[Revenue]]-Invoices[[#This Row],[Cost]]</f>
        <v>1073.5999999999999</v>
      </c>
      <c r="U230" s="25" t="str">
        <f>TEXT(Invoices[[#This Row],[Date]],"MMM")</f>
        <v>Jul</v>
      </c>
      <c r="V230" s="29">
        <f>CHOOSE(MONTH(Invoices[[#This Row],[Date]]),1,1,1,2,2,2,3,3,3,4,4,4)</f>
        <v>3</v>
      </c>
      <c r="W230" s="30">
        <f>IFERROR(Invoices[[#This Row],[Profit]]/Invoices[[#This Row],[Revenue]],0)</f>
        <v>0.74555555555555553</v>
      </c>
    </row>
    <row r="231" spans="1:23" x14ac:dyDescent="0.3">
      <c r="A231" s="19" t="s">
        <v>5</v>
      </c>
      <c r="B231" s="9">
        <v>22869</v>
      </c>
      <c r="C231" s="15">
        <v>41456</v>
      </c>
      <c r="D231" s="9">
        <v>106</v>
      </c>
      <c r="E231" s="10" t="s">
        <v>69</v>
      </c>
      <c r="F231" s="8">
        <v>2</v>
      </c>
      <c r="G231" s="10"/>
      <c r="H231" s="4" t="s">
        <v>132</v>
      </c>
      <c r="I231" s="4" t="s">
        <v>49</v>
      </c>
      <c r="J231" s="4">
        <v>20</v>
      </c>
      <c r="K231" s="23">
        <v>70</v>
      </c>
      <c r="L231">
        <f>IF(Invoices[[#This Row],[Document Type]]="Return",Invoices[[#This Row],[Unit Price]]*-1,Invoices[[#This Row],[Unit Price]])</f>
        <v>70</v>
      </c>
      <c r="M231" t="str">
        <f>IF(Invoices[[#This Row],[New Unit Price]]&lt;0,"Return",
IF(Invoices[[#This Row],[New Unit Price]]=0,"Free",IF(Invoices[[#This Row],[New Unit Price]]&lt;100,"Basic","Premium")))</f>
        <v>Basic</v>
      </c>
      <c r="N231">
        <f>VLOOKUP(Invoices[[#This Row],[Part  '#]],Products[],4,0)</f>
        <v>13.92</v>
      </c>
      <c r="O231" t="str">
        <f>VLOOKUP(Invoices[[#This Row],[Customer Account]],Customers[],4,0)</f>
        <v>Automotive</v>
      </c>
      <c r="P231" t="str">
        <f>VLOOKUP(Invoices[[#This Row],[Customer Account]],Customers[],3,0)</f>
        <v>Tennessee</v>
      </c>
      <c r="Q231" t="str">
        <f>VLOOKUP(Invoices[[#This Row],[Part  '#]],Products[],3,0)</f>
        <v>Consumables</v>
      </c>
      <c r="R231" s="25">
        <f>Invoices[[#This Row],[Quantity]]*Invoices[[#This Row],[Unit Cost]]</f>
        <v>278.39999999999998</v>
      </c>
      <c r="S231" s="25">
        <f>Invoices[[#This Row],[Quantity]]*Invoices[[#This Row],[New Unit Price]]</f>
        <v>1400</v>
      </c>
      <c r="T231" s="25">
        <f>Invoices[[#This Row],[Revenue]]-Invoices[[#This Row],[Cost]]</f>
        <v>1121.5999999999999</v>
      </c>
      <c r="U231" s="25" t="str">
        <f>TEXT(Invoices[[#This Row],[Date]],"MMM")</f>
        <v>Jul</v>
      </c>
      <c r="V231" s="29">
        <f>CHOOSE(MONTH(Invoices[[#This Row],[Date]]),1,1,1,2,2,2,3,3,3,4,4,4)</f>
        <v>3</v>
      </c>
      <c r="W231" s="30">
        <f>IFERROR(Invoices[[#This Row],[Profit]]/Invoices[[#This Row],[Revenue]],0)</f>
        <v>0.80114285714285705</v>
      </c>
    </row>
    <row r="232" spans="1:23" x14ac:dyDescent="0.3">
      <c r="A232" s="19" t="s">
        <v>5</v>
      </c>
      <c r="B232" s="9">
        <v>22870</v>
      </c>
      <c r="C232" s="15">
        <v>41456</v>
      </c>
      <c r="D232" s="9">
        <v>107</v>
      </c>
      <c r="E232" s="10" t="s">
        <v>72</v>
      </c>
      <c r="F232" s="8">
        <v>1</v>
      </c>
      <c r="G232" s="10"/>
      <c r="H232" s="4" t="s">
        <v>125</v>
      </c>
      <c r="I232" s="4" t="s">
        <v>40</v>
      </c>
      <c r="J232" s="4">
        <v>10</v>
      </c>
      <c r="K232" s="23">
        <v>30</v>
      </c>
      <c r="L232">
        <f>IF(Invoices[[#This Row],[Document Type]]="Return",Invoices[[#This Row],[Unit Price]]*-1,Invoices[[#This Row],[Unit Price]])</f>
        <v>30</v>
      </c>
      <c r="M232" t="str">
        <f>IF(Invoices[[#This Row],[New Unit Price]]&lt;0,"Return",
IF(Invoices[[#This Row],[New Unit Price]]=0,"Free",IF(Invoices[[#This Row],[New Unit Price]]&lt;100,"Basic","Premium")))</f>
        <v>Basic</v>
      </c>
      <c r="N232">
        <f>VLOOKUP(Invoices[[#This Row],[Part  '#]],Products[],4,0)</f>
        <v>6.9</v>
      </c>
      <c r="O232" t="str">
        <f>VLOOKUP(Invoices[[#This Row],[Customer Account]],Customers[],4,0)</f>
        <v>Financial</v>
      </c>
      <c r="P232" t="str">
        <f>VLOOKUP(Invoices[[#This Row],[Customer Account]],Customers[],3,0)</f>
        <v>Georgia</v>
      </c>
      <c r="Q232" t="str">
        <f>VLOOKUP(Invoices[[#This Row],[Part  '#]],Products[],3,0)</f>
        <v>Consumables</v>
      </c>
      <c r="R232" s="25">
        <f>Invoices[[#This Row],[Quantity]]*Invoices[[#This Row],[Unit Cost]]</f>
        <v>69</v>
      </c>
      <c r="S232" s="25">
        <f>Invoices[[#This Row],[Quantity]]*Invoices[[#This Row],[New Unit Price]]</f>
        <v>300</v>
      </c>
      <c r="T232" s="25">
        <f>Invoices[[#This Row],[Revenue]]-Invoices[[#This Row],[Cost]]</f>
        <v>231</v>
      </c>
      <c r="U232" s="25" t="str">
        <f>TEXT(Invoices[[#This Row],[Date]],"MMM")</f>
        <v>Jul</v>
      </c>
      <c r="V232" s="29">
        <f>CHOOSE(MONTH(Invoices[[#This Row],[Date]]),1,1,1,2,2,2,3,3,3,4,4,4)</f>
        <v>3</v>
      </c>
      <c r="W232" s="30">
        <f>IFERROR(Invoices[[#This Row],[Profit]]/Invoices[[#This Row],[Revenue]],0)</f>
        <v>0.77</v>
      </c>
    </row>
    <row r="233" spans="1:23" x14ac:dyDescent="0.3">
      <c r="A233" s="19" t="s">
        <v>5</v>
      </c>
      <c r="B233" s="9">
        <v>22870</v>
      </c>
      <c r="C233" s="15">
        <v>41456</v>
      </c>
      <c r="D233" s="9">
        <v>107</v>
      </c>
      <c r="E233" s="10" t="s">
        <v>72</v>
      </c>
      <c r="F233" s="8">
        <v>2</v>
      </c>
      <c r="G233" s="10"/>
      <c r="H233" s="4" t="s">
        <v>132</v>
      </c>
      <c r="I233" s="4" t="s">
        <v>49</v>
      </c>
      <c r="J233" s="4">
        <v>2</v>
      </c>
      <c r="K233" s="23">
        <v>70</v>
      </c>
      <c r="L233">
        <f>IF(Invoices[[#This Row],[Document Type]]="Return",Invoices[[#This Row],[Unit Price]]*-1,Invoices[[#This Row],[Unit Price]])</f>
        <v>70</v>
      </c>
      <c r="M233" t="str">
        <f>IF(Invoices[[#This Row],[New Unit Price]]&lt;0,"Return",
IF(Invoices[[#This Row],[New Unit Price]]=0,"Free",IF(Invoices[[#This Row],[New Unit Price]]&lt;100,"Basic","Premium")))</f>
        <v>Basic</v>
      </c>
      <c r="N233">
        <f>VLOOKUP(Invoices[[#This Row],[Part  '#]],Products[],4,0)</f>
        <v>13.92</v>
      </c>
      <c r="O233" t="str">
        <f>VLOOKUP(Invoices[[#This Row],[Customer Account]],Customers[],4,0)</f>
        <v>Financial</v>
      </c>
      <c r="P233" t="str">
        <f>VLOOKUP(Invoices[[#This Row],[Customer Account]],Customers[],3,0)</f>
        <v>Georgia</v>
      </c>
      <c r="Q233" t="str">
        <f>VLOOKUP(Invoices[[#This Row],[Part  '#]],Products[],3,0)</f>
        <v>Consumables</v>
      </c>
      <c r="R233" s="25">
        <f>Invoices[[#This Row],[Quantity]]*Invoices[[#This Row],[Unit Cost]]</f>
        <v>27.84</v>
      </c>
      <c r="S233" s="25">
        <f>Invoices[[#This Row],[Quantity]]*Invoices[[#This Row],[New Unit Price]]</f>
        <v>140</v>
      </c>
      <c r="T233" s="25">
        <f>Invoices[[#This Row],[Revenue]]-Invoices[[#This Row],[Cost]]</f>
        <v>112.16</v>
      </c>
      <c r="U233" s="25" t="str">
        <f>TEXT(Invoices[[#This Row],[Date]],"MMM")</f>
        <v>Jul</v>
      </c>
      <c r="V233" s="29">
        <f>CHOOSE(MONTH(Invoices[[#This Row],[Date]]),1,1,1,2,2,2,3,3,3,4,4,4)</f>
        <v>3</v>
      </c>
      <c r="W233" s="30">
        <f>IFERROR(Invoices[[#This Row],[Profit]]/Invoices[[#This Row],[Revenue]],0)</f>
        <v>0.80114285714285716</v>
      </c>
    </row>
    <row r="234" spans="1:23" x14ac:dyDescent="0.3">
      <c r="A234" s="19" t="s">
        <v>5</v>
      </c>
      <c r="B234" s="9">
        <v>22871</v>
      </c>
      <c r="C234" s="15">
        <v>41456</v>
      </c>
      <c r="D234" s="9">
        <v>108</v>
      </c>
      <c r="E234" s="10" t="s">
        <v>73</v>
      </c>
      <c r="F234" s="8">
        <v>1</v>
      </c>
      <c r="G234" s="10"/>
      <c r="H234" s="4" t="s">
        <v>135</v>
      </c>
      <c r="I234" s="4" t="s">
        <v>52</v>
      </c>
      <c r="J234" s="4">
        <v>20</v>
      </c>
      <c r="K234" s="23">
        <v>100</v>
      </c>
      <c r="L234">
        <f>IF(Invoices[[#This Row],[Document Type]]="Return",Invoices[[#This Row],[Unit Price]]*-1,Invoices[[#This Row],[Unit Price]])</f>
        <v>100</v>
      </c>
      <c r="M234" t="str">
        <f>IF(Invoices[[#This Row],[New Unit Price]]&lt;0,"Return",
IF(Invoices[[#This Row],[New Unit Price]]=0,"Free",IF(Invoices[[#This Row],[New Unit Price]]&lt;100,"Basic","Premium")))</f>
        <v>Premium</v>
      </c>
      <c r="N234">
        <f>VLOOKUP(Invoices[[#This Row],[Part  '#]],Products[],4,0)</f>
        <v>27.17</v>
      </c>
      <c r="O234" t="str">
        <f>VLOOKUP(Invoices[[#This Row],[Customer Account]],Customers[],4,0)</f>
        <v>Financial</v>
      </c>
      <c r="P234" t="str">
        <f>VLOOKUP(Invoices[[#This Row],[Customer Account]],Customers[],3,0)</f>
        <v>Florida</v>
      </c>
      <c r="Q234" t="str">
        <f>VLOOKUP(Invoices[[#This Row],[Part  '#]],Products[],3,0)</f>
        <v>Consumables</v>
      </c>
      <c r="R234" s="25">
        <f>Invoices[[#This Row],[Quantity]]*Invoices[[#This Row],[Unit Cost]]</f>
        <v>543.40000000000009</v>
      </c>
      <c r="S234" s="25">
        <f>Invoices[[#This Row],[Quantity]]*Invoices[[#This Row],[New Unit Price]]</f>
        <v>2000</v>
      </c>
      <c r="T234" s="25">
        <f>Invoices[[#This Row],[Revenue]]-Invoices[[#This Row],[Cost]]</f>
        <v>1456.6</v>
      </c>
      <c r="U234" s="25" t="str">
        <f>TEXT(Invoices[[#This Row],[Date]],"MMM")</f>
        <v>Jul</v>
      </c>
      <c r="V234" s="29">
        <f>CHOOSE(MONTH(Invoices[[#This Row],[Date]]),1,1,1,2,2,2,3,3,3,4,4,4)</f>
        <v>3</v>
      </c>
      <c r="W234" s="30">
        <f>IFERROR(Invoices[[#This Row],[Profit]]/Invoices[[#This Row],[Revenue]],0)</f>
        <v>0.72829999999999995</v>
      </c>
    </row>
    <row r="235" spans="1:23" x14ac:dyDescent="0.3">
      <c r="A235" s="19" t="s">
        <v>5</v>
      </c>
      <c r="B235" s="9">
        <v>22871</v>
      </c>
      <c r="C235" s="15">
        <v>41456</v>
      </c>
      <c r="D235" s="9">
        <v>108</v>
      </c>
      <c r="E235" s="10" t="s">
        <v>73</v>
      </c>
      <c r="F235" s="8">
        <v>2</v>
      </c>
      <c r="G235" s="10"/>
      <c r="H235" s="4" t="s">
        <v>136</v>
      </c>
      <c r="I235" s="4" t="s">
        <v>53</v>
      </c>
      <c r="J235" s="4">
        <v>20</v>
      </c>
      <c r="K235" s="23">
        <v>140</v>
      </c>
      <c r="L235">
        <f>IF(Invoices[[#This Row],[Document Type]]="Return",Invoices[[#This Row],[Unit Price]]*-1,Invoices[[#This Row],[Unit Price]])</f>
        <v>140</v>
      </c>
      <c r="M235" t="str">
        <f>IF(Invoices[[#This Row],[New Unit Price]]&lt;0,"Return",
IF(Invoices[[#This Row],[New Unit Price]]=0,"Free",IF(Invoices[[#This Row],[New Unit Price]]&lt;100,"Basic","Premium")))</f>
        <v>Premium</v>
      </c>
      <c r="N235">
        <f>VLOOKUP(Invoices[[#This Row],[Part  '#]],Products[],4,0)</f>
        <v>34.299999999999997</v>
      </c>
      <c r="O235" t="str">
        <f>VLOOKUP(Invoices[[#This Row],[Customer Account]],Customers[],4,0)</f>
        <v>Financial</v>
      </c>
      <c r="P235" t="str">
        <f>VLOOKUP(Invoices[[#This Row],[Customer Account]],Customers[],3,0)</f>
        <v>Florida</v>
      </c>
      <c r="Q235" t="str">
        <f>VLOOKUP(Invoices[[#This Row],[Part  '#]],Products[],3,0)</f>
        <v>Consumables</v>
      </c>
      <c r="R235" s="25">
        <f>Invoices[[#This Row],[Quantity]]*Invoices[[#This Row],[Unit Cost]]</f>
        <v>686</v>
      </c>
      <c r="S235" s="25">
        <f>Invoices[[#This Row],[Quantity]]*Invoices[[#This Row],[New Unit Price]]</f>
        <v>2800</v>
      </c>
      <c r="T235" s="25">
        <f>Invoices[[#This Row],[Revenue]]-Invoices[[#This Row],[Cost]]</f>
        <v>2114</v>
      </c>
      <c r="U235" s="25" t="str">
        <f>TEXT(Invoices[[#This Row],[Date]],"MMM")</f>
        <v>Jul</v>
      </c>
      <c r="V235" s="29">
        <f>CHOOSE(MONTH(Invoices[[#This Row],[Date]]),1,1,1,2,2,2,3,3,3,4,4,4)</f>
        <v>3</v>
      </c>
      <c r="W235" s="30">
        <f>IFERROR(Invoices[[#This Row],[Profit]]/Invoices[[#This Row],[Revenue]],0)</f>
        <v>0.755</v>
      </c>
    </row>
    <row r="236" spans="1:23" x14ac:dyDescent="0.3">
      <c r="A236" s="19" t="s">
        <v>5</v>
      </c>
      <c r="B236" s="9">
        <v>22871</v>
      </c>
      <c r="C236" s="15">
        <v>41456</v>
      </c>
      <c r="D236" s="9">
        <v>108</v>
      </c>
      <c r="E236" s="10" t="s">
        <v>73</v>
      </c>
      <c r="F236" s="8">
        <v>3</v>
      </c>
      <c r="G236" s="10"/>
      <c r="H236" s="4" t="s">
        <v>130</v>
      </c>
      <c r="I236" s="4" t="s">
        <v>47</v>
      </c>
      <c r="J236" s="4">
        <v>100</v>
      </c>
      <c r="K236" s="23">
        <v>19.200000000000003</v>
      </c>
      <c r="L236">
        <f>IF(Invoices[[#This Row],[Document Type]]="Return",Invoices[[#This Row],[Unit Price]]*-1,Invoices[[#This Row],[Unit Price]])</f>
        <v>19.200000000000003</v>
      </c>
      <c r="M236" t="str">
        <f>IF(Invoices[[#This Row],[New Unit Price]]&lt;0,"Return",
IF(Invoices[[#This Row],[New Unit Price]]=0,"Free",IF(Invoices[[#This Row],[New Unit Price]]&lt;100,"Basic","Premium")))</f>
        <v>Basic</v>
      </c>
      <c r="N236">
        <f>VLOOKUP(Invoices[[#This Row],[Part  '#]],Products[],4,0)</f>
        <v>7.09</v>
      </c>
      <c r="O236" t="str">
        <f>VLOOKUP(Invoices[[#This Row],[Customer Account]],Customers[],4,0)</f>
        <v>Financial</v>
      </c>
      <c r="P236" t="str">
        <f>VLOOKUP(Invoices[[#This Row],[Customer Account]],Customers[],3,0)</f>
        <v>Florida</v>
      </c>
      <c r="Q236" t="str">
        <f>VLOOKUP(Invoices[[#This Row],[Part  '#]],Products[],3,0)</f>
        <v>Consumables</v>
      </c>
      <c r="R236" s="25">
        <f>Invoices[[#This Row],[Quantity]]*Invoices[[#This Row],[Unit Cost]]</f>
        <v>709</v>
      </c>
      <c r="S236" s="25">
        <f>Invoices[[#This Row],[Quantity]]*Invoices[[#This Row],[New Unit Price]]</f>
        <v>1920.0000000000002</v>
      </c>
      <c r="T236" s="25">
        <f>Invoices[[#This Row],[Revenue]]-Invoices[[#This Row],[Cost]]</f>
        <v>1211.0000000000002</v>
      </c>
      <c r="U236" s="25" t="str">
        <f>TEXT(Invoices[[#This Row],[Date]],"MMM")</f>
        <v>Jul</v>
      </c>
      <c r="V236" s="29">
        <f>CHOOSE(MONTH(Invoices[[#This Row],[Date]]),1,1,1,2,2,2,3,3,3,4,4,4)</f>
        <v>3</v>
      </c>
      <c r="W236" s="30">
        <f>IFERROR(Invoices[[#This Row],[Profit]]/Invoices[[#This Row],[Revenue]],0)</f>
        <v>0.63072916666666667</v>
      </c>
    </row>
    <row r="237" spans="1:23" x14ac:dyDescent="0.3">
      <c r="A237" s="19" t="s">
        <v>5</v>
      </c>
      <c r="B237" s="9">
        <v>22872</v>
      </c>
      <c r="C237" s="15">
        <v>41456</v>
      </c>
      <c r="D237" s="9">
        <v>109</v>
      </c>
      <c r="E237" s="10" t="s">
        <v>74</v>
      </c>
      <c r="F237" s="8">
        <v>1</v>
      </c>
      <c r="G237" s="10"/>
      <c r="H237" s="4" t="s">
        <v>123</v>
      </c>
      <c r="I237" s="4" t="s">
        <v>38</v>
      </c>
      <c r="J237" s="4">
        <v>1</v>
      </c>
      <c r="K237" s="23">
        <v>20</v>
      </c>
      <c r="L237">
        <f>IF(Invoices[[#This Row],[Document Type]]="Return",Invoices[[#This Row],[Unit Price]]*-1,Invoices[[#This Row],[Unit Price]])</f>
        <v>20</v>
      </c>
      <c r="M237" t="str">
        <f>IF(Invoices[[#This Row],[New Unit Price]]&lt;0,"Return",
IF(Invoices[[#This Row],[New Unit Price]]=0,"Free",IF(Invoices[[#This Row],[New Unit Price]]&lt;100,"Basic","Premium")))</f>
        <v>Basic</v>
      </c>
      <c r="N237">
        <f>VLOOKUP(Invoices[[#This Row],[Part  '#]],Products[],4,0)</f>
        <v>4.58</v>
      </c>
      <c r="O237" t="str">
        <f>VLOOKUP(Invoices[[#This Row],[Customer Account]],Customers[],4,0)</f>
        <v>Financial</v>
      </c>
      <c r="P237" t="str">
        <f>VLOOKUP(Invoices[[#This Row],[Customer Account]],Customers[],3,0)</f>
        <v>Georgia</v>
      </c>
      <c r="Q237" t="str">
        <f>VLOOKUP(Invoices[[#This Row],[Part  '#]],Products[],3,0)</f>
        <v>Consumables</v>
      </c>
      <c r="R237" s="25">
        <f>Invoices[[#This Row],[Quantity]]*Invoices[[#This Row],[Unit Cost]]</f>
        <v>4.58</v>
      </c>
      <c r="S237" s="25">
        <f>Invoices[[#This Row],[Quantity]]*Invoices[[#This Row],[New Unit Price]]</f>
        <v>20</v>
      </c>
      <c r="T237" s="25">
        <f>Invoices[[#This Row],[Revenue]]-Invoices[[#This Row],[Cost]]</f>
        <v>15.42</v>
      </c>
      <c r="U237" s="25" t="str">
        <f>TEXT(Invoices[[#This Row],[Date]],"MMM")</f>
        <v>Jul</v>
      </c>
      <c r="V237" s="29">
        <f>CHOOSE(MONTH(Invoices[[#This Row],[Date]]),1,1,1,2,2,2,3,3,3,4,4,4)</f>
        <v>3</v>
      </c>
      <c r="W237" s="30">
        <f>IFERROR(Invoices[[#This Row],[Profit]]/Invoices[[#This Row],[Revenue]],0)</f>
        <v>0.77100000000000002</v>
      </c>
    </row>
    <row r="238" spans="1:23" x14ac:dyDescent="0.3">
      <c r="A238" s="19" t="s">
        <v>5</v>
      </c>
      <c r="B238" s="9">
        <v>22872</v>
      </c>
      <c r="C238" s="15">
        <v>41456</v>
      </c>
      <c r="D238" s="9">
        <v>109</v>
      </c>
      <c r="E238" s="10" t="s">
        <v>74</v>
      </c>
      <c r="F238" s="8">
        <v>2</v>
      </c>
      <c r="G238" s="10"/>
      <c r="H238" s="4" t="s">
        <v>131</v>
      </c>
      <c r="I238" s="4" t="s">
        <v>48</v>
      </c>
      <c r="J238" s="4">
        <v>1</v>
      </c>
      <c r="K238" s="23">
        <v>50</v>
      </c>
      <c r="L238">
        <f>IF(Invoices[[#This Row],[Document Type]]="Return",Invoices[[#This Row],[Unit Price]]*-1,Invoices[[#This Row],[Unit Price]])</f>
        <v>50</v>
      </c>
      <c r="M238" t="str">
        <f>IF(Invoices[[#This Row],[New Unit Price]]&lt;0,"Return",
IF(Invoices[[#This Row],[New Unit Price]]=0,"Free",IF(Invoices[[#This Row],[New Unit Price]]&lt;100,"Basic","Premium")))</f>
        <v>Basic</v>
      </c>
      <c r="N238">
        <f>VLOOKUP(Invoices[[#This Row],[Part  '#]],Products[],4,0)</f>
        <v>11.67</v>
      </c>
      <c r="O238" t="str">
        <f>VLOOKUP(Invoices[[#This Row],[Customer Account]],Customers[],4,0)</f>
        <v>Financial</v>
      </c>
      <c r="P238" t="str">
        <f>VLOOKUP(Invoices[[#This Row],[Customer Account]],Customers[],3,0)</f>
        <v>Georgia</v>
      </c>
      <c r="Q238" t="str">
        <f>VLOOKUP(Invoices[[#This Row],[Part  '#]],Products[],3,0)</f>
        <v>Consumables</v>
      </c>
      <c r="R238" s="25">
        <f>Invoices[[#This Row],[Quantity]]*Invoices[[#This Row],[Unit Cost]]</f>
        <v>11.67</v>
      </c>
      <c r="S238" s="25">
        <f>Invoices[[#This Row],[Quantity]]*Invoices[[#This Row],[New Unit Price]]</f>
        <v>50</v>
      </c>
      <c r="T238" s="25">
        <f>Invoices[[#This Row],[Revenue]]-Invoices[[#This Row],[Cost]]</f>
        <v>38.33</v>
      </c>
      <c r="U238" s="25" t="str">
        <f>TEXT(Invoices[[#This Row],[Date]],"MMM")</f>
        <v>Jul</v>
      </c>
      <c r="V238" s="29">
        <f>CHOOSE(MONTH(Invoices[[#This Row],[Date]]),1,1,1,2,2,2,3,3,3,4,4,4)</f>
        <v>3</v>
      </c>
      <c r="W238" s="30">
        <f>IFERROR(Invoices[[#This Row],[Profit]]/Invoices[[#This Row],[Revenue]],0)</f>
        <v>0.76659999999999995</v>
      </c>
    </row>
    <row r="239" spans="1:23" x14ac:dyDescent="0.3">
      <c r="A239" s="19" t="s">
        <v>5</v>
      </c>
      <c r="B239" s="9">
        <v>22873</v>
      </c>
      <c r="C239" s="15">
        <v>41456</v>
      </c>
      <c r="D239" s="9">
        <v>112</v>
      </c>
      <c r="E239" s="10" t="s">
        <v>80</v>
      </c>
      <c r="F239" s="8">
        <v>1</v>
      </c>
      <c r="G239" s="10"/>
      <c r="H239" s="4" t="s">
        <v>132</v>
      </c>
      <c r="I239" s="4" t="s">
        <v>49</v>
      </c>
      <c r="J239" s="4">
        <v>5</v>
      </c>
      <c r="K239" s="23">
        <v>70</v>
      </c>
      <c r="L239">
        <f>IF(Invoices[[#This Row],[Document Type]]="Return",Invoices[[#This Row],[Unit Price]]*-1,Invoices[[#This Row],[Unit Price]])</f>
        <v>70</v>
      </c>
      <c r="M239" t="str">
        <f>IF(Invoices[[#This Row],[New Unit Price]]&lt;0,"Return",
IF(Invoices[[#This Row],[New Unit Price]]=0,"Free",IF(Invoices[[#This Row],[New Unit Price]]&lt;100,"Basic","Premium")))</f>
        <v>Basic</v>
      </c>
      <c r="N239">
        <f>VLOOKUP(Invoices[[#This Row],[Part  '#]],Products[],4,0)</f>
        <v>13.92</v>
      </c>
      <c r="O239" t="str">
        <f>VLOOKUP(Invoices[[#This Row],[Customer Account]],Customers[],4,0)</f>
        <v>Financial</v>
      </c>
      <c r="P239" t="str">
        <f>VLOOKUP(Invoices[[#This Row],[Customer Account]],Customers[],3,0)</f>
        <v>Georgia</v>
      </c>
      <c r="Q239" t="str">
        <f>VLOOKUP(Invoices[[#This Row],[Part  '#]],Products[],3,0)</f>
        <v>Consumables</v>
      </c>
      <c r="R239" s="25">
        <f>Invoices[[#This Row],[Quantity]]*Invoices[[#This Row],[Unit Cost]]</f>
        <v>69.599999999999994</v>
      </c>
      <c r="S239" s="25">
        <f>Invoices[[#This Row],[Quantity]]*Invoices[[#This Row],[New Unit Price]]</f>
        <v>350</v>
      </c>
      <c r="T239" s="25">
        <f>Invoices[[#This Row],[Revenue]]-Invoices[[#This Row],[Cost]]</f>
        <v>280.39999999999998</v>
      </c>
      <c r="U239" s="25" t="str">
        <f>TEXT(Invoices[[#This Row],[Date]],"MMM")</f>
        <v>Jul</v>
      </c>
      <c r="V239" s="29">
        <f>CHOOSE(MONTH(Invoices[[#This Row],[Date]]),1,1,1,2,2,2,3,3,3,4,4,4)</f>
        <v>3</v>
      </c>
      <c r="W239" s="30">
        <f>IFERROR(Invoices[[#This Row],[Profit]]/Invoices[[#This Row],[Revenue]],0)</f>
        <v>0.80114285714285705</v>
      </c>
    </row>
    <row r="240" spans="1:23" x14ac:dyDescent="0.3">
      <c r="A240" s="19" t="s">
        <v>5</v>
      </c>
      <c r="B240" s="9">
        <v>22873</v>
      </c>
      <c r="C240" s="15">
        <v>41456</v>
      </c>
      <c r="D240" s="9">
        <v>112</v>
      </c>
      <c r="E240" s="10" t="s">
        <v>80</v>
      </c>
      <c r="F240" s="8">
        <v>2</v>
      </c>
      <c r="G240" s="10"/>
      <c r="H240" s="4" t="s">
        <v>125</v>
      </c>
      <c r="I240" s="4" t="s">
        <v>40</v>
      </c>
      <c r="J240" s="4">
        <v>5</v>
      </c>
      <c r="K240" s="23">
        <v>30</v>
      </c>
      <c r="L240">
        <f>IF(Invoices[[#This Row],[Document Type]]="Return",Invoices[[#This Row],[Unit Price]]*-1,Invoices[[#This Row],[Unit Price]])</f>
        <v>30</v>
      </c>
      <c r="M240" t="str">
        <f>IF(Invoices[[#This Row],[New Unit Price]]&lt;0,"Return",
IF(Invoices[[#This Row],[New Unit Price]]=0,"Free",IF(Invoices[[#This Row],[New Unit Price]]&lt;100,"Basic","Premium")))</f>
        <v>Basic</v>
      </c>
      <c r="N240">
        <f>VLOOKUP(Invoices[[#This Row],[Part  '#]],Products[],4,0)</f>
        <v>6.9</v>
      </c>
      <c r="O240" t="str">
        <f>VLOOKUP(Invoices[[#This Row],[Customer Account]],Customers[],4,0)</f>
        <v>Financial</v>
      </c>
      <c r="P240" t="str">
        <f>VLOOKUP(Invoices[[#This Row],[Customer Account]],Customers[],3,0)</f>
        <v>Georgia</v>
      </c>
      <c r="Q240" t="str">
        <f>VLOOKUP(Invoices[[#This Row],[Part  '#]],Products[],3,0)</f>
        <v>Consumables</v>
      </c>
      <c r="R240" s="25">
        <f>Invoices[[#This Row],[Quantity]]*Invoices[[#This Row],[Unit Cost]]</f>
        <v>34.5</v>
      </c>
      <c r="S240" s="25">
        <f>Invoices[[#This Row],[Quantity]]*Invoices[[#This Row],[New Unit Price]]</f>
        <v>150</v>
      </c>
      <c r="T240" s="25">
        <f>Invoices[[#This Row],[Revenue]]-Invoices[[#This Row],[Cost]]</f>
        <v>115.5</v>
      </c>
      <c r="U240" s="25" t="str">
        <f>TEXT(Invoices[[#This Row],[Date]],"MMM")</f>
        <v>Jul</v>
      </c>
      <c r="V240" s="29">
        <f>CHOOSE(MONTH(Invoices[[#This Row],[Date]]),1,1,1,2,2,2,3,3,3,4,4,4)</f>
        <v>3</v>
      </c>
      <c r="W240" s="30">
        <f>IFERROR(Invoices[[#This Row],[Profit]]/Invoices[[#This Row],[Revenue]],0)</f>
        <v>0.77</v>
      </c>
    </row>
    <row r="241" spans="1:23" x14ac:dyDescent="0.3">
      <c r="A241" s="19" t="s">
        <v>5</v>
      </c>
      <c r="B241" s="9">
        <v>22874</v>
      </c>
      <c r="C241" s="15">
        <v>41456</v>
      </c>
      <c r="D241" s="9">
        <v>113</v>
      </c>
      <c r="E241" s="10" t="s">
        <v>81</v>
      </c>
      <c r="F241" s="8">
        <v>1</v>
      </c>
      <c r="G241" s="10"/>
      <c r="H241" s="4" t="s">
        <v>125</v>
      </c>
      <c r="I241" s="4" t="s">
        <v>40</v>
      </c>
      <c r="J241" s="4">
        <v>250</v>
      </c>
      <c r="K241" s="23">
        <v>24</v>
      </c>
      <c r="L241">
        <f>IF(Invoices[[#This Row],[Document Type]]="Return",Invoices[[#This Row],[Unit Price]]*-1,Invoices[[#This Row],[Unit Price]])</f>
        <v>24</v>
      </c>
      <c r="M241" t="str">
        <f>IF(Invoices[[#This Row],[New Unit Price]]&lt;0,"Return",
IF(Invoices[[#This Row],[New Unit Price]]=0,"Free",IF(Invoices[[#This Row],[New Unit Price]]&lt;100,"Basic","Premium")))</f>
        <v>Basic</v>
      </c>
      <c r="N241">
        <f>VLOOKUP(Invoices[[#This Row],[Part  '#]],Products[],4,0)</f>
        <v>6.9</v>
      </c>
      <c r="O241" t="str">
        <f>VLOOKUP(Invoices[[#This Row],[Customer Account]],Customers[],4,0)</f>
        <v>Financial</v>
      </c>
      <c r="P241" t="str">
        <f>VLOOKUP(Invoices[[#This Row],[Customer Account]],Customers[],3,0)</f>
        <v>Georgia</v>
      </c>
      <c r="Q241" t="str">
        <f>VLOOKUP(Invoices[[#This Row],[Part  '#]],Products[],3,0)</f>
        <v>Consumables</v>
      </c>
      <c r="R241" s="25">
        <f>Invoices[[#This Row],[Quantity]]*Invoices[[#This Row],[Unit Cost]]</f>
        <v>1725</v>
      </c>
      <c r="S241" s="25">
        <f>Invoices[[#This Row],[Quantity]]*Invoices[[#This Row],[New Unit Price]]</f>
        <v>6000</v>
      </c>
      <c r="T241" s="25">
        <f>Invoices[[#This Row],[Revenue]]-Invoices[[#This Row],[Cost]]</f>
        <v>4275</v>
      </c>
      <c r="U241" s="25" t="str">
        <f>TEXT(Invoices[[#This Row],[Date]],"MMM")</f>
        <v>Jul</v>
      </c>
      <c r="V241" s="29">
        <f>CHOOSE(MONTH(Invoices[[#This Row],[Date]]),1,1,1,2,2,2,3,3,3,4,4,4)</f>
        <v>3</v>
      </c>
      <c r="W241" s="30">
        <f>IFERROR(Invoices[[#This Row],[Profit]]/Invoices[[#This Row],[Revenue]],0)</f>
        <v>0.71250000000000002</v>
      </c>
    </row>
    <row r="242" spans="1:23" x14ac:dyDescent="0.3">
      <c r="A242" s="19" t="s">
        <v>5</v>
      </c>
      <c r="B242" s="9">
        <v>22874</v>
      </c>
      <c r="C242" s="15">
        <v>41456</v>
      </c>
      <c r="D242" s="9">
        <v>113</v>
      </c>
      <c r="E242" s="10" t="s">
        <v>81</v>
      </c>
      <c r="F242" s="8">
        <v>2</v>
      </c>
      <c r="G242" s="10"/>
      <c r="H242" s="4" t="s">
        <v>132</v>
      </c>
      <c r="I242" s="4" t="s">
        <v>49</v>
      </c>
      <c r="J242" s="4">
        <v>50</v>
      </c>
      <c r="K242" s="23">
        <v>70</v>
      </c>
      <c r="L242">
        <f>IF(Invoices[[#This Row],[Document Type]]="Return",Invoices[[#This Row],[Unit Price]]*-1,Invoices[[#This Row],[Unit Price]])</f>
        <v>70</v>
      </c>
      <c r="M242" t="str">
        <f>IF(Invoices[[#This Row],[New Unit Price]]&lt;0,"Return",
IF(Invoices[[#This Row],[New Unit Price]]=0,"Free",IF(Invoices[[#This Row],[New Unit Price]]&lt;100,"Basic","Premium")))</f>
        <v>Basic</v>
      </c>
      <c r="N242">
        <f>VLOOKUP(Invoices[[#This Row],[Part  '#]],Products[],4,0)</f>
        <v>13.92</v>
      </c>
      <c r="O242" t="str">
        <f>VLOOKUP(Invoices[[#This Row],[Customer Account]],Customers[],4,0)</f>
        <v>Financial</v>
      </c>
      <c r="P242" t="str">
        <f>VLOOKUP(Invoices[[#This Row],[Customer Account]],Customers[],3,0)</f>
        <v>Georgia</v>
      </c>
      <c r="Q242" t="str">
        <f>VLOOKUP(Invoices[[#This Row],[Part  '#]],Products[],3,0)</f>
        <v>Consumables</v>
      </c>
      <c r="R242" s="25">
        <f>Invoices[[#This Row],[Quantity]]*Invoices[[#This Row],[Unit Cost]]</f>
        <v>696</v>
      </c>
      <c r="S242" s="25">
        <f>Invoices[[#This Row],[Quantity]]*Invoices[[#This Row],[New Unit Price]]</f>
        <v>3500</v>
      </c>
      <c r="T242" s="25">
        <f>Invoices[[#This Row],[Revenue]]-Invoices[[#This Row],[Cost]]</f>
        <v>2804</v>
      </c>
      <c r="U242" s="25" t="str">
        <f>TEXT(Invoices[[#This Row],[Date]],"MMM")</f>
        <v>Jul</v>
      </c>
      <c r="V242" s="29">
        <f>CHOOSE(MONTH(Invoices[[#This Row],[Date]]),1,1,1,2,2,2,3,3,3,4,4,4)</f>
        <v>3</v>
      </c>
      <c r="W242" s="30">
        <f>IFERROR(Invoices[[#This Row],[Profit]]/Invoices[[#This Row],[Revenue]],0)</f>
        <v>0.80114285714285716</v>
      </c>
    </row>
    <row r="243" spans="1:23" x14ac:dyDescent="0.3">
      <c r="A243" s="19" t="s">
        <v>5</v>
      </c>
      <c r="B243" s="9">
        <v>22875</v>
      </c>
      <c r="C243" s="15">
        <v>41456</v>
      </c>
      <c r="D243" s="9">
        <v>114</v>
      </c>
      <c r="E243" s="10" t="s">
        <v>82</v>
      </c>
      <c r="F243" s="8">
        <v>1</v>
      </c>
      <c r="G243" s="10"/>
      <c r="H243" s="4" t="s">
        <v>135</v>
      </c>
      <c r="I243" s="4" t="s">
        <v>52</v>
      </c>
      <c r="J243" s="4">
        <v>8</v>
      </c>
      <c r="K243" s="23">
        <v>100</v>
      </c>
      <c r="L243">
        <f>IF(Invoices[[#This Row],[Document Type]]="Return",Invoices[[#This Row],[Unit Price]]*-1,Invoices[[#This Row],[Unit Price]])</f>
        <v>100</v>
      </c>
      <c r="M243" t="str">
        <f>IF(Invoices[[#This Row],[New Unit Price]]&lt;0,"Return",
IF(Invoices[[#This Row],[New Unit Price]]=0,"Free",IF(Invoices[[#This Row],[New Unit Price]]&lt;100,"Basic","Premium")))</f>
        <v>Premium</v>
      </c>
      <c r="N243">
        <f>VLOOKUP(Invoices[[#This Row],[Part  '#]],Products[],4,0)</f>
        <v>27.17</v>
      </c>
      <c r="O243" t="str">
        <f>VLOOKUP(Invoices[[#This Row],[Customer Account]],Customers[],4,0)</f>
        <v>Automotive</v>
      </c>
      <c r="P243" t="str">
        <f>VLOOKUP(Invoices[[#This Row],[Customer Account]],Customers[],3,0)</f>
        <v>North Carolina</v>
      </c>
      <c r="Q243" t="str">
        <f>VLOOKUP(Invoices[[#This Row],[Part  '#]],Products[],3,0)</f>
        <v>Consumables</v>
      </c>
      <c r="R243" s="25">
        <f>Invoices[[#This Row],[Quantity]]*Invoices[[#This Row],[Unit Cost]]</f>
        <v>217.36</v>
      </c>
      <c r="S243" s="25">
        <f>Invoices[[#This Row],[Quantity]]*Invoices[[#This Row],[New Unit Price]]</f>
        <v>800</v>
      </c>
      <c r="T243" s="25">
        <f>Invoices[[#This Row],[Revenue]]-Invoices[[#This Row],[Cost]]</f>
        <v>582.64</v>
      </c>
      <c r="U243" s="25" t="str">
        <f>TEXT(Invoices[[#This Row],[Date]],"MMM")</f>
        <v>Jul</v>
      </c>
      <c r="V243" s="29">
        <f>CHOOSE(MONTH(Invoices[[#This Row],[Date]]),1,1,1,2,2,2,3,3,3,4,4,4)</f>
        <v>3</v>
      </c>
      <c r="W243" s="30">
        <f>IFERROR(Invoices[[#This Row],[Profit]]/Invoices[[#This Row],[Revenue]],0)</f>
        <v>0.72829999999999995</v>
      </c>
    </row>
    <row r="244" spans="1:23" x14ac:dyDescent="0.3">
      <c r="A244" s="19" t="s">
        <v>5</v>
      </c>
      <c r="B244" s="9">
        <v>22875</v>
      </c>
      <c r="C244" s="15">
        <v>41456</v>
      </c>
      <c r="D244" s="9">
        <v>114</v>
      </c>
      <c r="E244" s="10" t="s">
        <v>82</v>
      </c>
      <c r="F244" s="8">
        <v>2</v>
      </c>
      <c r="G244" s="10"/>
      <c r="H244" s="4" t="s">
        <v>136</v>
      </c>
      <c r="I244" s="4" t="s">
        <v>53</v>
      </c>
      <c r="J244" s="4">
        <v>6</v>
      </c>
      <c r="K244" s="23">
        <v>140</v>
      </c>
      <c r="L244">
        <f>IF(Invoices[[#This Row],[Document Type]]="Return",Invoices[[#This Row],[Unit Price]]*-1,Invoices[[#This Row],[Unit Price]])</f>
        <v>140</v>
      </c>
      <c r="M244" t="str">
        <f>IF(Invoices[[#This Row],[New Unit Price]]&lt;0,"Return",
IF(Invoices[[#This Row],[New Unit Price]]=0,"Free",IF(Invoices[[#This Row],[New Unit Price]]&lt;100,"Basic","Premium")))</f>
        <v>Premium</v>
      </c>
      <c r="N244">
        <f>VLOOKUP(Invoices[[#This Row],[Part  '#]],Products[],4,0)</f>
        <v>34.299999999999997</v>
      </c>
      <c r="O244" t="str">
        <f>VLOOKUP(Invoices[[#This Row],[Customer Account]],Customers[],4,0)</f>
        <v>Automotive</v>
      </c>
      <c r="P244" t="str">
        <f>VLOOKUP(Invoices[[#This Row],[Customer Account]],Customers[],3,0)</f>
        <v>North Carolina</v>
      </c>
      <c r="Q244" t="str">
        <f>VLOOKUP(Invoices[[#This Row],[Part  '#]],Products[],3,0)</f>
        <v>Consumables</v>
      </c>
      <c r="R244" s="25">
        <f>Invoices[[#This Row],[Quantity]]*Invoices[[#This Row],[Unit Cost]]</f>
        <v>205.79999999999998</v>
      </c>
      <c r="S244" s="25">
        <f>Invoices[[#This Row],[Quantity]]*Invoices[[#This Row],[New Unit Price]]</f>
        <v>840</v>
      </c>
      <c r="T244" s="25">
        <f>Invoices[[#This Row],[Revenue]]-Invoices[[#This Row],[Cost]]</f>
        <v>634.20000000000005</v>
      </c>
      <c r="U244" s="25" t="str">
        <f>TEXT(Invoices[[#This Row],[Date]],"MMM")</f>
        <v>Jul</v>
      </c>
      <c r="V244" s="29">
        <f>CHOOSE(MONTH(Invoices[[#This Row],[Date]]),1,1,1,2,2,2,3,3,3,4,4,4)</f>
        <v>3</v>
      </c>
      <c r="W244" s="30">
        <f>IFERROR(Invoices[[#This Row],[Profit]]/Invoices[[#This Row],[Revenue]],0)</f>
        <v>0.755</v>
      </c>
    </row>
    <row r="245" spans="1:23" x14ac:dyDescent="0.3">
      <c r="A245" s="19" t="s">
        <v>5</v>
      </c>
      <c r="B245" s="9">
        <v>22875</v>
      </c>
      <c r="C245" s="15">
        <v>41456</v>
      </c>
      <c r="D245" s="9">
        <v>114</v>
      </c>
      <c r="E245" s="10" t="s">
        <v>82</v>
      </c>
      <c r="F245" s="8">
        <v>3</v>
      </c>
      <c r="G245" s="10"/>
      <c r="H245" s="4" t="s">
        <v>128</v>
      </c>
      <c r="I245" s="4" t="s">
        <v>45</v>
      </c>
      <c r="J245" s="4">
        <v>15</v>
      </c>
      <c r="K245" s="23">
        <v>25</v>
      </c>
      <c r="L245">
        <f>IF(Invoices[[#This Row],[Document Type]]="Return",Invoices[[#This Row],[Unit Price]]*-1,Invoices[[#This Row],[Unit Price]])</f>
        <v>25</v>
      </c>
      <c r="M245" t="str">
        <f>IF(Invoices[[#This Row],[New Unit Price]]&lt;0,"Return",
IF(Invoices[[#This Row],[New Unit Price]]=0,"Free",IF(Invoices[[#This Row],[New Unit Price]]&lt;100,"Basic","Premium")))</f>
        <v>Basic</v>
      </c>
      <c r="N245">
        <f>VLOOKUP(Invoices[[#This Row],[Part  '#]],Products[],4,0)</f>
        <v>5.16</v>
      </c>
      <c r="O245" t="str">
        <f>VLOOKUP(Invoices[[#This Row],[Customer Account]],Customers[],4,0)</f>
        <v>Automotive</v>
      </c>
      <c r="P245" t="str">
        <f>VLOOKUP(Invoices[[#This Row],[Customer Account]],Customers[],3,0)</f>
        <v>North Carolina</v>
      </c>
      <c r="Q245" t="str">
        <f>VLOOKUP(Invoices[[#This Row],[Part  '#]],Products[],3,0)</f>
        <v>Consumables</v>
      </c>
      <c r="R245" s="25">
        <f>Invoices[[#This Row],[Quantity]]*Invoices[[#This Row],[Unit Cost]]</f>
        <v>77.400000000000006</v>
      </c>
      <c r="S245" s="25">
        <f>Invoices[[#This Row],[Quantity]]*Invoices[[#This Row],[New Unit Price]]</f>
        <v>375</v>
      </c>
      <c r="T245" s="25">
        <f>Invoices[[#This Row],[Revenue]]-Invoices[[#This Row],[Cost]]</f>
        <v>297.60000000000002</v>
      </c>
      <c r="U245" s="25" t="str">
        <f>TEXT(Invoices[[#This Row],[Date]],"MMM")</f>
        <v>Jul</v>
      </c>
      <c r="V245" s="29">
        <f>CHOOSE(MONTH(Invoices[[#This Row],[Date]]),1,1,1,2,2,2,3,3,3,4,4,4)</f>
        <v>3</v>
      </c>
      <c r="W245" s="30">
        <f>IFERROR(Invoices[[#This Row],[Profit]]/Invoices[[#This Row],[Revenue]],0)</f>
        <v>0.79360000000000008</v>
      </c>
    </row>
    <row r="246" spans="1:23" x14ac:dyDescent="0.3">
      <c r="A246" s="19" t="s">
        <v>5</v>
      </c>
      <c r="B246" s="9">
        <v>22875</v>
      </c>
      <c r="C246" s="15">
        <v>41456</v>
      </c>
      <c r="D246" s="9">
        <v>114</v>
      </c>
      <c r="E246" s="10" t="s">
        <v>82</v>
      </c>
      <c r="F246" s="8">
        <v>4</v>
      </c>
      <c r="G246" s="10"/>
      <c r="H246" s="4" t="s">
        <v>130</v>
      </c>
      <c r="I246" s="4" t="s">
        <v>47</v>
      </c>
      <c r="J246" s="4">
        <v>22</v>
      </c>
      <c r="K246" s="23">
        <v>24</v>
      </c>
      <c r="L246">
        <f>IF(Invoices[[#This Row],[Document Type]]="Return",Invoices[[#This Row],[Unit Price]]*-1,Invoices[[#This Row],[Unit Price]])</f>
        <v>24</v>
      </c>
      <c r="M246" t="str">
        <f>IF(Invoices[[#This Row],[New Unit Price]]&lt;0,"Return",
IF(Invoices[[#This Row],[New Unit Price]]=0,"Free",IF(Invoices[[#This Row],[New Unit Price]]&lt;100,"Basic","Premium")))</f>
        <v>Basic</v>
      </c>
      <c r="N246">
        <f>VLOOKUP(Invoices[[#This Row],[Part  '#]],Products[],4,0)</f>
        <v>7.09</v>
      </c>
      <c r="O246" t="str">
        <f>VLOOKUP(Invoices[[#This Row],[Customer Account]],Customers[],4,0)</f>
        <v>Automotive</v>
      </c>
      <c r="P246" t="str">
        <f>VLOOKUP(Invoices[[#This Row],[Customer Account]],Customers[],3,0)</f>
        <v>North Carolina</v>
      </c>
      <c r="Q246" t="str">
        <f>VLOOKUP(Invoices[[#This Row],[Part  '#]],Products[],3,0)</f>
        <v>Consumables</v>
      </c>
      <c r="R246" s="25">
        <f>Invoices[[#This Row],[Quantity]]*Invoices[[#This Row],[Unit Cost]]</f>
        <v>155.97999999999999</v>
      </c>
      <c r="S246" s="25">
        <f>Invoices[[#This Row],[Quantity]]*Invoices[[#This Row],[New Unit Price]]</f>
        <v>528</v>
      </c>
      <c r="T246" s="25">
        <f>Invoices[[#This Row],[Revenue]]-Invoices[[#This Row],[Cost]]</f>
        <v>372.02</v>
      </c>
      <c r="U246" s="25" t="str">
        <f>TEXT(Invoices[[#This Row],[Date]],"MMM")</f>
        <v>Jul</v>
      </c>
      <c r="V246" s="29">
        <f>CHOOSE(MONTH(Invoices[[#This Row],[Date]]),1,1,1,2,2,2,3,3,3,4,4,4)</f>
        <v>3</v>
      </c>
      <c r="W246" s="30">
        <f>IFERROR(Invoices[[#This Row],[Profit]]/Invoices[[#This Row],[Revenue]],0)</f>
        <v>0.70458333333333334</v>
      </c>
    </row>
    <row r="247" spans="1:23" x14ac:dyDescent="0.3">
      <c r="A247" s="19" t="s">
        <v>5</v>
      </c>
      <c r="B247" s="9">
        <v>22876</v>
      </c>
      <c r="C247" s="15">
        <v>41456</v>
      </c>
      <c r="D247" s="9">
        <v>116</v>
      </c>
      <c r="E247" s="10" t="s">
        <v>84</v>
      </c>
      <c r="F247" s="8">
        <v>1</v>
      </c>
      <c r="G247" s="10"/>
      <c r="H247" s="4" t="s">
        <v>125</v>
      </c>
      <c r="I247" s="4" t="s">
        <v>40</v>
      </c>
      <c r="J247" s="4">
        <v>50</v>
      </c>
      <c r="K247" s="23">
        <v>30</v>
      </c>
      <c r="L247">
        <f>IF(Invoices[[#This Row],[Document Type]]="Return",Invoices[[#This Row],[Unit Price]]*-1,Invoices[[#This Row],[Unit Price]])</f>
        <v>30</v>
      </c>
      <c r="M247" t="str">
        <f>IF(Invoices[[#This Row],[New Unit Price]]&lt;0,"Return",
IF(Invoices[[#This Row],[New Unit Price]]=0,"Free",IF(Invoices[[#This Row],[New Unit Price]]&lt;100,"Basic","Premium")))</f>
        <v>Basic</v>
      </c>
      <c r="N247">
        <f>VLOOKUP(Invoices[[#This Row],[Part  '#]],Products[],4,0)</f>
        <v>6.9</v>
      </c>
      <c r="O247" t="str">
        <f>VLOOKUP(Invoices[[#This Row],[Customer Account]],Customers[],4,0)</f>
        <v>Automotive</v>
      </c>
      <c r="P247" t="str">
        <f>VLOOKUP(Invoices[[#This Row],[Customer Account]],Customers[],3,0)</f>
        <v>Tennessee</v>
      </c>
      <c r="Q247" t="str">
        <f>VLOOKUP(Invoices[[#This Row],[Part  '#]],Products[],3,0)</f>
        <v>Consumables</v>
      </c>
      <c r="R247" s="25">
        <f>Invoices[[#This Row],[Quantity]]*Invoices[[#This Row],[Unit Cost]]</f>
        <v>345</v>
      </c>
      <c r="S247" s="25">
        <f>Invoices[[#This Row],[Quantity]]*Invoices[[#This Row],[New Unit Price]]</f>
        <v>1500</v>
      </c>
      <c r="T247" s="25">
        <f>Invoices[[#This Row],[Revenue]]-Invoices[[#This Row],[Cost]]</f>
        <v>1155</v>
      </c>
      <c r="U247" s="25" t="str">
        <f>TEXT(Invoices[[#This Row],[Date]],"MMM")</f>
        <v>Jul</v>
      </c>
      <c r="V247" s="29">
        <f>CHOOSE(MONTH(Invoices[[#This Row],[Date]]),1,1,1,2,2,2,3,3,3,4,4,4)</f>
        <v>3</v>
      </c>
      <c r="W247" s="30">
        <f>IFERROR(Invoices[[#This Row],[Profit]]/Invoices[[#This Row],[Revenue]],0)</f>
        <v>0.77</v>
      </c>
    </row>
    <row r="248" spans="1:23" x14ac:dyDescent="0.3">
      <c r="A248" s="19" t="s">
        <v>5</v>
      </c>
      <c r="B248" s="9">
        <v>22876</v>
      </c>
      <c r="C248" s="15">
        <v>41456</v>
      </c>
      <c r="D248" s="9">
        <v>116</v>
      </c>
      <c r="E248" s="10" t="s">
        <v>84</v>
      </c>
      <c r="F248" s="8">
        <v>2</v>
      </c>
      <c r="G248" s="10"/>
      <c r="H248" s="4" t="s">
        <v>132</v>
      </c>
      <c r="I248" s="4" t="s">
        <v>49</v>
      </c>
      <c r="J248" s="4">
        <v>20</v>
      </c>
      <c r="K248" s="23">
        <v>70</v>
      </c>
      <c r="L248">
        <f>IF(Invoices[[#This Row],[Document Type]]="Return",Invoices[[#This Row],[Unit Price]]*-1,Invoices[[#This Row],[Unit Price]])</f>
        <v>70</v>
      </c>
      <c r="M248" t="str">
        <f>IF(Invoices[[#This Row],[New Unit Price]]&lt;0,"Return",
IF(Invoices[[#This Row],[New Unit Price]]=0,"Free",IF(Invoices[[#This Row],[New Unit Price]]&lt;100,"Basic","Premium")))</f>
        <v>Basic</v>
      </c>
      <c r="N248">
        <f>VLOOKUP(Invoices[[#This Row],[Part  '#]],Products[],4,0)</f>
        <v>13.92</v>
      </c>
      <c r="O248" t="str">
        <f>VLOOKUP(Invoices[[#This Row],[Customer Account]],Customers[],4,0)</f>
        <v>Automotive</v>
      </c>
      <c r="P248" t="str">
        <f>VLOOKUP(Invoices[[#This Row],[Customer Account]],Customers[],3,0)</f>
        <v>Tennessee</v>
      </c>
      <c r="Q248" t="str">
        <f>VLOOKUP(Invoices[[#This Row],[Part  '#]],Products[],3,0)</f>
        <v>Consumables</v>
      </c>
      <c r="R248" s="25">
        <f>Invoices[[#This Row],[Quantity]]*Invoices[[#This Row],[Unit Cost]]</f>
        <v>278.39999999999998</v>
      </c>
      <c r="S248" s="25">
        <f>Invoices[[#This Row],[Quantity]]*Invoices[[#This Row],[New Unit Price]]</f>
        <v>1400</v>
      </c>
      <c r="T248" s="25">
        <f>Invoices[[#This Row],[Revenue]]-Invoices[[#This Row],[Cost]]</f>
        <v>1121.5999999999999</v>
      </c>
      <c r="U248" s="25" t="str">
        <f>TEXT(Invoices[[#This Row],[Date]],"MMM")</f>
        <v>Jul</v>
      </c>
      <c r="V248" s="29">
        <f>CHOOSE(MONTH(Invoices[[#This Row],[Date]]),1,1,1,2,2,2,3,3,3,4,4,4)</f>
        <v>3</v>
      </c>
      <c r="W248" s="30">
        <f>IFERROR(Invoices[[#This Row],[Profit]]/Invoices[[#This Row],[Revenue]],0)</f>
        <v>0.80114285714285705</v>
      </c>
    </row>
    <row r="249" spans="1:23" x14ac:dyDescent="0.3">
      <c r="A249" s="19" t="s">
        <v>5</v>
      </c>
      <c r="B249" s="9">
        <v>22876</v>
      </c>
      <c r="C249" s="15">
        <v>41456</v>
      </c>
      <c r="D249" s="9">
        <v>116</v>
      </c>
      <c r="E249" s="10" t="s">
        <v>84</v>
      </c>
      <c r="F249" s="8">
        <v>3</v>
      </c>
      <c r="G249" s="10"/>
      <c r="H249" s="4" t="s">
        <v>120</v>
      </c>
      <c r="I249" s="4" t="s">
        <v>54</v>
      </c>
      <c r="J249" s="4">
        <v>2</v>
      </c>
      <c r="K249" s="23">
        <v>250</v>
      </c>
      <c r="L249">
        <f>IF(Invoices[[#This Row],[Document Type]]="Return",Invoices[[#This Row],[Unit Price]]*-1,Invoices[[#This Row],[Unit Price]])</f>
        <v>250</v>
      </c>
      <c r="M249" t="str">
        <f>IF(Invoices[[#This Row],[New Unit Price]]&lt;0,"Return",
IF(Invoices[[#This Row],[New Unit Price]]=0,"Free",IF(Invoices[[#This Row],[New Unit Price]]&lt;100,"Basic","Premium")))</f>
        <v>Premium</v>
      </c>
      <c r="N249">
        <f>VLOOKUP(Invoices[[#This Row],[Part  '#]],Products[],4,0)</f>
        <v>89.7</v>
      </c>
      <c r="O249" t="str">
        <f>VLOOKUP(Invoices[[#This Row],[Customer Account]],Customers[],4,0)</f>
        <v>Automotive</v>
      </c>
      <c r="P249" t="str">
        <f>VLOOKUP(Invoices[[#This Row],[Customer Account]],Customers[],3,0)</f>
        <v>Tennessee</v>
      </c>
      <c r="Q249" t="str">
        <f>VLOOKUP(Invoices[[#This Row],[Part  '#]],Products[],3,0)</f>
        <v>Accessories</v>
      </c>
      <c r="R249" s="25">
        <f>Invoices[[#This Row],[Quantity]]*Invoices[[#This Row],[Unit Cost]]</f>
        <v>179.4</v>
      </c>
      <c r="S249" s="25">
        <f>Invoices[[#This Row],[Quantity]]*Invoices[[#This Row],[New Unit Price]]</f>
        <v>500</v>
      </c>
      <c r="T249" s="25">
        <f>Invoices[[#This Row],[Revenue]]-Invoices[[#This Row],[Cost]]</f>
        <v>320.60000000000002</v>
      </c>
      <c r="U249" s="25" t="str">
        <f>TEXT(Invoices[[#This Row],[Date]],"MMM")</f>
        <v>Jul</v>
      </c>
      <c r="V249" s="29">
        <f>CHOOSE(MONTH(Invoices[[#This Row],[Date]]),1,1,1,2,2,2,3,3,3,4,4,4)</f>
        <v>3</v>
      </c>
      <c r="W249" s="30">
        <f>IFERROR(Invoices[[#This Row],[Profit]]/Invoices[[#This Row],[Revenue]],0)</f>
        <v>0.64119999999999999</v>
      </c>
    </row>
    <row r="250" spans="1:23" x14ac:dyDescent="0.3">
      <c r="A250" s="19" t="s">
        <v>5</v>
      </c>
      <c r="B250" s="9">
        <v>22877</v>
      </c>
      <c r="C250" s="15">
        <v>41456</v>
      </c>
      <c r="D250" s="9">
        <v>117</v>
      </c>
      <c r="E250" s="10" t="s">
        <v>85</v>
      </c>
      <c r="F250" s="8">
        <v>1</v>
      </c>
      <c r="G250" s="10"/>
      <c r="H250" s="4" t="s">
        <v>132</v>
      </c>
      <c r="I250" s="4" t="s">
        <v>49</v>
      </c>
      <c r="J250" s="4">
        <v>14</v>
      </c>
      <c r="K250" s="23">
        <v>70</v>
      </c>
      <c r="L250">
        <f>IF(Invoices[[#This Row],[Document Type]]="Return",Invoices[[#This Row],[Unit Price]]*-1,Invoices[[#This Row],[Unit Price]])</f>
        <v>70</v>
      </c>
      <c r="M250" t="str">
        <f>IF(Invoices[[#This Row],[New Unit Price]]&lt;0,"Return",
IF(Invoices[[#This Row],[New Unit Price]]=0,"Free",IF(Invoices[[#This Row],[New Unit Price]]&lt;100,"Basic","Premium")))</f>
        <v>Basic</v>
      </c>
      <c r="N250">
        <f>VLOOKUP(Invoices[[#This Row],[Part  '#]],Products[],4,0)</f>
        <v>13.92</v>
      </c>
      <c r="O250" t="str">
        <f>VLOOKUP(Invoices[[#This Row],[Customer Account]],Customers[],4,0)</f>
        <v>Automotive</v>
      </c>
      <c r="P250" t="str">
        <f>VLOOKUP(Invoices[[#This Row],[Customer Account]],Customers[],3,0)</f>
        <v>Georgia</v>
      </c>
      <c r="Q250" t="str">
        <f>VLOOKUP(Invoices[[#This Row],[Part  '#]],Products[],3,0)</f>
        <v>Consumables</v>
      </c>
      <c r="R250" s="25">
        <f>Invoices[[#This Row],[Quantity]]*Invoices[[#This Row],[Unit Cost]]</f>
        <v>194.88</v>
      </c>
      <c r="S250" s="25">
        <f>Invoices[[#This Row],[Quantity]]*Invoices[[#This Row],[New Unit Price]]</f>
        <v>980</v>
      </c>
      <c r="T250" s="25">
        <f>Invoices[[#This Row],[Revenue]]-Invoices[[#This Row],[Cost]]</f>
        <v>785.12</v>
      </c>
      <c r="U250" s="25" t="str">
        <f>TEXT(Invoices[[#This Row],[Date]],"MMM")</f>
        <v>Jul</v>
      </c>
      <c r="V250" s="29">
        <f>CHOOSE(MONTH(Invoices[[#This Row],[Date]]),1,1,1,2,2,2,3,3,3,4,4,4)</f>
        <v>3</v>
      </c>
      <c r="W250" s="30">
        <f>IFERROR(Invoices[[#This Row],[Profit]]/Invoices[[#This Row],[Revenue]],0)</f>
        <v>0.80114285714285716</v>
      </c>
    </row>
    <row r="251" spans="1:23" x14ac:dyDescent="0.3">
      <c r="A251" s="19" t="s">
        <v>5</v>
      </c>
      <c r="B251" s="9">
        <v>22877</v>
      </c>
      <c r="C251" s="15">
        <v>41456</v>
      </c>
      <c r="D251" s="9">
        <v>117</v>
      </c>
      <c r="E251" s="10" t="s">
        <v>85</v>
      </c>
      <c r="F251" s="8">
        <v>2</v>
      </c>
      <c r="G251" s="10"/>
      <c r="H251" s="4" t="s">
        <v>125</v>
      </c>
      <c r="I251" s="4" t="s">
        <v>40</v>
      </c>
      <c r="J251" s="4">
        <v>14</v>
      </c>
      <c r="K251" s="23">
        <v>30</v>
      </c>
      <c r="L251">
        <f>IF(Invoices[[#This Row],[Document Type]]="Return",Invoices[[#This Row],[Unit Price]]*-1,Invoices[[#This Row],[Unit Price]])</f>
        <v>30</v>
      </c>
      <c r="M251" t="str">
        <f>IF(Invoices[[#This Row],[New Unit Price]]&lt;0,"Return",
IF(Invoices[[#This Row],[New Unit Price]]=0,"Free",IF(Invoices[[#This Row],[New Unit Price]]&lt;100,"Basic","Premium")))</f>
        <v>Basic</v>
      </c>
      <c r="N251">
        <f>VLOOKUP(Invoices[[#This Row],[Part  '#]],Products[],4,0)</f>
        <v>6.9</v>
      </c>
      <c r="O251" t="str">
        <f>VLOOKUP(Invoices[[#This Row],[Customer Account]],Customers[],4,0)</f>
        <v>Automotive</v>
      </c>
      <c r="P251" t="str">
        <f>VLOOKUP(Invoices[[#This Row],[Customer Account]],Customers[],3,0)</f>
        <v>Georgia</v>
      </c>
      <c r="Q251" t="str">
        <f>VLOOKUP(Invoices[[#This Row],[Part  '#]],Products[],3,0)</f>
        <v>Consumables</v>
      </c>
      <c r="R251" s="25">
        <f>Invoices[[#This Row],[Quantity]]*Invoices[[#This Row],[Unit Cost]]</f>
        <v>96.600000000000009</v>
      </c>
      <c r="S251" s="25">
        <f>Invoices[[#This Row],[Quantity]]*Invoices[[#This Row],[New Unit Price]]</f>
        <v>420</v>
      </c>
      <c r="T251" s="25">
        <f>Invoices[[#This Row],[Revenue]]-Invoices[[#This Row],[Cost]]</f>
        <v>323.39999999999998</v>
      </c>
      <c r="U251" s="25" t="str">
        <f>TEXT(Invoices[[#This Row],[Date]],"MMM")</f>
        <v>Jul</v>
      </c>
      <c r="V251" s="29">
        <f>CHOOSE(MONTH(Invoices[[#This Row],[Date]]),1,1,1,2,2,2,3,3,3,4,4,4)</f>
        <v>3</v>
      </c>
      <c r="W251" s="30">
        <f>IFERROR(Invoices[[#This Row],[Profit]]/Invoices[[#This Row],[Revenue]],0)</f>
        <v>0.76999999999999991</v>
      </c>
    </row>
    <row r="252" spans="1:23" x14ac:dyDescent="0.3">
      <c r="A252" s="19" t="s">
        <v>5</v>
      </c>
      <c r="B252" s="9">
        <v>22878</v>
      </c>
      <c r="C252" s="15">
        <v>41456</v>
      </c>
      <c r="D252" s="9">
        <v>119</v>
      </c>
      <c r="E252" s="10" t="s">
        <v>87</v>
      </c>
      <c r="F252" s="8">
        <v>1</v>
      </c>
      <c r="G252" s="10"/>
      <c r="H252" s="4" t="s">
        <v>135</v>
      </c>
      <c r="I252" s="4" t="s">
        <v>52</v>
      </c>
      <c r="J252" s="4">
        <v>5</v>
      </c>
      <c r="K252" s="23">
        <v>100</v>
      </c>
      <c r="L252">
        <f>IF(Invoices[[#This Row],[Document Type]]="Return",Invoices[[#This Row],[Unit Price]]*-1,Invoices[[#This Row],[Unit Price]])</f>
        <v>100</v>
      </c>
      <c r="M252" t="str">
        <f>IF(Invoices[[#This Row],[New Unit Price]]&lt;0,"Return",
IF(Invoices[[#This Row],[New Unit Price]]=0,"Free",IF(Invoices[[#This Row],[New Unit Price]]&lt;100,"Basic","Premium")))</f>
        <v>Premium</v>
      </c>
      <c r="N252">
        <f>VLOOKUP(Invoices[[#This Row],[Part  '#]],Products[],4,0)</f>
        <v>27.17</v>
      </c>
      <c r="O252" t="str">
        <f>VLOOKUP(Invoices[[#This Row],[Customer Account]],Customers[],4,0)</f>
        <v>Financial</v>
      </c>
      <c r="P252" t="str">
        <f>VLOOKUP(Invoices[[#This Row],[Customer Account]],Customers[],3,0)</f>
        <v>Georgia</v>
      </c>
      <c r="Q252" t="str">
        <f>VLOOKUP(Invoices[[#This Row],[Part  '#]],Products[],3,0)</f>
        <v>Consumables</v>
      </c>
      <c r="R252" s="25">
        <f>Invoices[[#This Row],[Quantity]]*Invoices[[#This Row],[Unit Cost]]</f>
        <v>135.85000000000002</v>
      </c>
      <c r="S252" s="25">
        <f>Invoices[[#This Row],[Quantity]]*Invoices[[#This Row],[New Unit Price]]</f>
        <v>500</v>
      </c>
      <c r="T252" s="25">
        <f>Invoices[[#This Row],[Revenue]]-Invoices[[#This Row],[Cost]]</f>
        <v>364.15</v>
      </c>
      <c r="U252" s="25" t="str">
        <f>TEXT(Invoices[[#This Row],[Date]],"MMM")</f>
        <v>Jul</v>
      </c>
      <c r="V252" s="29">
        <f>CHOOSE(MONTH(Invoices[[#This Row],[Date]]),1,1,1,2,2,2,3,3,3,4,4,4)</f>
        <v>3</v>
      </c>
      <c r="W252" s="30">
        <f>IFERROR(Invoices[[#This Row],[Profit]]/Invoices[[#This Row],[Revenue]],0)</f>
        <v>0.72829999999999995</v>
      </c>
    </row>
    <row r="253" spans="1:23" x14ac:dyDescent="0.3">
      <c r="A253" s="19" t="s">
        <v>5</v>
      </c>
      <c r="B253" s="9">
        <v>22878</v>
      </c>
      <c r="C253" s="15">
        <v>41456</v>
      </c>
      <c r="D253" s="9">
        <v>119</v>
      </c>
      <c r="E253" s="10" t="s">
        <v>87</v>
      </c>
      <c r="F253" s="8">
        <v>2</v>
      </c>
      <c r="G253" s="10"/>
      <c r="H253" s="4" t="s">
        <v>136</v>
      </c>
      <c r="I253" s="4" t="s">
        <v>53</v>
      </c>
      <c r="J253" s="4">
        <v>5</v>
      </c>
      <c r="K253" s="23">
        <v>140</v>
      </c>
      <c r="L253">
        <f>IF(Invoices[[#This Row],[Document Type]]="Return",Invoices[[#This Row],[Unit Price]]*-1,Invoices[[#This Row],[Unit Price]])</f>
        <v>140</v>
      </c>
      <c r="M253" t="str">
        <f>IF(Invoices[[#This Row],[New Unit Price]]&lt;0,"Return",
IF(Invoices[[#This Row],[New Unit Price]]=0,"Free",IF(Invoices[[#This Row],[New Unit Price]]&lt;100,"Basic","Premium")))</f>
        <v>Premium</v>
      </c>
      <c r="N253">
        <f>VLOOKUP(Invoices[[#This Row],[Part  '#]],Products[],4,0)</f>
        <v>34.299999999999997</v>
      </c>
      <c r="O253" t="str">
        <f>VLOOKUP(Invoices[[#This Row],[Customer Account]],Customers[],4,0)</f>
        <v>Financial</v>
      </c>
      <c r="P253" t="str">
        <f>VLOOKUP(Invoices[[#This Row],[Customer Account]],Customers[],3,0)</f>
        <v>Georgia</v>
      </c>
      <c r="Q253" t="str">
        <f>VLOOKUP(Invoices[[#This Row],[Part  '#]],Products[],3,0)</f>
        <v>Consumables</v>
      </c>
      <c r="R253" s="25">
        <f>Invoices[[#This Row],[Quantity]]*Invoices[[#This Row],[Unit Cost]]</f>
        <v>171.5</v>
      </c>
      <c r="S253" s="25">
        <f>Invoices[[#This Row],[Quantity]]*Invoices[[#This Row],[New Unit Price]]</f>
        <v>700</v>
      </c>
      <c r="T253" s="25">
        <f>Invoices[[#This Row],[Revenue]]-Invoices[[#This Row],[Cost]]</f>
        <v>528.5</v>
      </c>
      <c r="U253" s="25" t="str">
        <f>TEXT(Invoices[[#This Row],[Date]],"MMM")</f>
        <v>Jul</v>
      </c>
      <c r="V253" s="29">
        <f>CHOOSE(MONTH(Invoices[[#This Row],[Date]]),1,1,1,2,2,2,3,3,3,4,4,4)</f>
        <v>3</v>
      </c>
      <c r="W253" s="30">
        <f>IFERROR(Invoices[[#This Row],[Profit]]/Invoices[[#This Row],[Revenue]],0)</f>
        <v>0.755</v>
      </c>
    </row>
    <row r="254" spans="1:23" x14ac:dyDescent="0.3">
      <c r="A254" s="19" t="s">
        <v>5</v>
      </c>
      <c r="B254" s="9">
        <v>22878</v>
      </c>
      <c r="C254" s="15">
        <v>41456</v>
      </c>
      <c r="D254" s="9">
        <v>119</v>
      </c>
      <c r="E254" s="10" t="s">
        <v>87</v>
      </c>
      <c r="F254" s="8">
        <v>3</v>
      </c>
      <c r="G254" s="10"/>
      <c r="H254" s="4" t="s">
        <v>128</v>
      </c>
      <c r="I254" s="4" t="s">
        <v>45</v>
      </c>
      <c r="J254" s="4">
        <v>50</v>
      </c>
      <c r="K254" s="23">
        <v>25</v>
      </c>
      <c r="L254">
        <f>IF(Invoices[[#This Row],[Document Type]]="Return",Invoices[[#This Row],[Unit Price]]*-1,Invoices[[#This Row],[Unit Price]])</f>
        <v>25</v>
      </c>
      <c r="M254" t="str">
        <f>IF(Invoices[[#This Row],[New Unit Price]]&lt;0,"Return",
IF(Invoices[[#This Row],[New Unit Price]]=0,"Free",IF(Invoices[[#This Row],[New Unit Price]]&lt;100,"Basic","Premium")))</f>
        <v>Basic</v>
      </c>
      <c r="N254">
        <f>VLOOKUP(Invoices[[#This Row],[Part  '#]],Products[],4,0)</f>
        <v>5.16</v>
      </c>
      <c r="O254" t="str">
        <f>VLOOKUP(Invoices[[#This Row],[Customer Account]],Customers[],4,0)</f>
        <v>Financial</v>
      </c>
      <c r="P254" t="str">
        <f>VLOOKUP(Invoices[[#This Row],[Customer Account]],Customers[],3,0)</f>
        <v>Georgia</v>
      </c>
      <c r="Q254" t="str">
        <f>VLOOKUP(Invoices[[#This Row],[Part  '#]],Products[],3,0)</f>
        <v>Consumables</v>
      </c>
      <c r="R254" s="25">
        <f>Invoices[[#This Row],[Quantity]]*Invoices[[#This Row],[Unit Cost]]</f>
        <v>258</v>
      </c>
      <c r="S254" s="25">
        <f>Invoices[[#This Row],[Quantity]]*Invoices[[#This Row],[New Unit Price]]</f>
        <v>1250</v>
      </c>
      <c r="T254" s="25">
        <f>Invoices[[#This Row],[Revenue]]-Invoices[[#This Row],[Cost]]</f>
        <v>992</v>
      </c>
      <c r="U254" s="25" t="str">
        <f>TEXT(Invoices[[#This Row],[Date]],"MMM")</f>
        <v>Jul</v>
      </c>
      <c r="V254" s="29">
        <f>CHOOSE(MONTH(Invoices[[#This Row],[Date]]),1,1,1,2,2,2,3,3,3,4,4,4)</f>
        <v>3</v>
      </c>
      <c r="W254" s="30">
        <f>IFERROR(Invoices[[#This Row],[Profit]]/Invoices[[#This Row],[Revenue]],0)</f>
        <v>0.79359999999999997</v>
      </c>
    </row>
    <row r="255" spans="1:23" x14ac:dyDescent="0.3">
      <c r="A255" s="19" t="s">
        <v>5</v>
      </c>
      <c r="B255" s="9">
        <v>22878</v>
      </c>
      <c r="C255" s="15">
        <v>41456</v>
      </c>
      <c r="D255" s="9">
        <v>119</v>
      </c>
      <c r="E255" s="10" t="s">
        <v>87</v>
      </c>
      <c r="F255" s="8">
        <v>4</v>
      </c>
      <c r="G255" s="10"/>
      <c r="H255" s="4" t="s">
        <v>130</v>
      </c>
      <c r="I255" s="4" t="s">
        <v>47</v>
      </c>
      <c r="J255" s="4">
        <v>50</v>
      </c>
      <c r="K255" s="23">
        <v>24</v>
      </c>
      <c r="L255">
        <f>IF(Invoices[[#This Row],[Document Type]]="Return",Invoices[[#This Row],[Unit Price]]*-1,Invoices[[#This Row],[Unit Price]])</f>
        <v>24</v>
      </c>
      <c r="M255" t="str">
        <f>IF(Invoices[[#This Row],[New Unit Price]]&lt;0,"Return",
IF(Invoices[[#This Row],[New Unit Price]]=0,"Free",IF(Invoices[[#This Row],[New Unit Price]]&lt;100,"Basic","Premium")))</f>
        <v>Basic</v>
      </c>
      <c r="N255">
        <f>VLOOKUP(Invoices[[#This Row],[Part  '#]],Products[],4,0)</f>
        <v>7.09</v>
      </c>
      <c r="O255" t="str">
        <f>VLOOKUP(Invoices[[#This Row],[Customer Account]],Customers[],4,0)</f>
        <v>Financial</v>
      </c>
      <c r="P255" t="str">
        <f>VLOOKUP(Invoices[[#This Row],[Customer Account]],Customers[],3,0)</f>
        <v>Georgia</v>
      </c>
      <c r="Q255" t="str">
        <f>VLOOKUP(Invoices[[#This Row],[Part  '#]],Products[],3,0)</f>
        <v>Consumables</v>
      </c>
      <c r="R255" s="25">
        <f>Invoices[[#This Row],[Quantity]]*Invoices[[#This Row],[Unit Cost]]</f>
        <v>354.5</v>
      </c>
      <c r="S255" s="25">
        <f>Invoices[[#This Row],[Quantity]]*Invoices[[#This Row],[New Unit Price]]</f>
        <v>1200</v>
      </c>
      <c r="T255" s="25">
        <f>Invoices[[#This Row],[Revenue]]-Invoices[[#This Row],[Cost]]</f>
        <v>845.5</v>
      </c>
      <c r="U255" s="25" t="str">
        <f>TEXT(Invoices[[#This Row],[Date]],"MMM")</f>
        <v>Jul</v>
      </c>
      <c r="V255" s="29">
        <f>CHOOSE(MONTH(Invoices[[#This Row],[Date]]),1,1,1,2,2,2,3,3,3,4,4,4)</f>
        <v>3</v>
      </c>
      <c r="W255" s="30">
        <f>IFERROR(Invoices[[#This Row],[Profit]]/Invoices[[#This Row],[Revenue]],0)</f>
        <v>0.70458333333333334</v>
      </c>
    </row>
    <row r="256" spans="1:23" x14ac:dyDescent="0.3">
      <c r="A256" s="19" t="s">
        <v>5</v>
      </c>
      <c r="B256" s="9">
        <v>22879</v>
      </c>
      <c r="C256" s="15">
        <v>41470</v>
      </c>
      <c r="D256" s="9">
        <v>101</v>
      </c>
      <c r="E256" s="10" t="s">
        <v>61</v>
      </c>
      <c r="F256" s="8">
        <v>1</v>
      </c>
      <c r="G256" s="10"/>
      <c r="H256" s="4" t="s">
        <v>92</v>
      </c>
      <c r="I256" s="4" t="s">
        <v>10</v>
      </c>
      <c r="J256" s="4">
        <v>25</v>
      </c>
      <c r="K256" s="23">
        <v>1500</v>
      </c>
      <c r="L256">
        <f>IF(Invoices[[#This Row],[Document Type]]="Return",Invoices[[#This Row],[Unit Price]]*-1,Invoices[[#This Row],[Unit Price]])</f>
        <v>1500</v>
      </c>
      <c r="M256" t="str">
        <f>IF(Invoices[[#This Row],[New Unit Price]]&lt;0,"Return",
IF(Invoices[[#This Row],[New Unit Price]]=0,"Free",IF(Invoices[[#This Row],[New Unit Price]]&lt;100,"Basic","Premium")))</f>
        <v>Premium</v>
      </c>
      <c r="N256">
        <f>VLOOKUP(Invoices[[#This Row],[Part  '#]],Products[],4,0)</f>
        <v>899.1</v>
      </c>
      <c r="O256" t="str">
        <f>VLOOKUP(Invoices[[#This Row],[Customer Account]],Customers[],4,0)</f>
        <v>Automotive</v>
      </c>
      <c r="P256" t="str">
        <f>VLOOKUP(Invoices[[#This Row],[Customer Account]],Customers[],3,0)</f>
        <v>Georgia</v>
      </c>
      <c r="Q256" t="str">
        <f>VLOOKUP(Invoices[[#This Row],[Part  '#]],Products[],3,0)</f>
        <v>Product</v>
      </c>
      <c r="R256" s="25">
        <f>Invoices[[#This Row],[Quantity]]*Invoices[[#This Row],[Unit Cost]]</f>
        <v>22477.5</v>
      </c>
      <c r="S256" s="25">
        <f>Invoices[[#This Row],[Quantity]]*Invoices[[#This Row],[New Unit Price]]</f>
        <v>37500</v>
      </c>
      <c r="T256" s="25">
        <f>Invoices[[#This Row],[Revenue]]-Invoices[[#This Row],[Cost]]</f>
        <v>15022.5</v>
      </c>
      <c r="U256" s="25" t="str">
        <f>TEXT(Invoices[[#This Row],[Date]],"MMM")</f>
        <v>Jul</v>
      </c>
      <c r="V256" s="29">
        <f>CHOOSE(MONTH(Invoices[[#This Row],[Date]]),1,1,1,2,2,2,3,3,3,4,4,4)</f>
        <v>3</v>
      </c>
      <c r="W256" s="30">
        <f>IFERROR(Invoices[[#This Row],[Profit]]/Invoices[[#This Row],[Revenue]],0)</f>
        <v>0.40060000000000001</v>
      </c>
    </row>
    <row r="257" spans="1:23" x14ac:dyDescent="0.3">
      <c r="A257" s="19" t="s">
        <v>5</v>
      </c>
      <c r="B257" s="9">
        <v>22879</v>
      </c>
      <c r="C257" s="15">
        <v>41470</v>
      </c>
      <c r="D257" s="9">
        <v>101</v>
      </c>
      <c r="E257" s="10" t="s">
        <v>61</v>
      </c>
      <c r="F257" s="8">
        <v>2</v>
      </c>
      <c r="G257" s="10"/>
      <c r="H257" s="4" t="s">
        <v>109</v>
      </c>
      <c r="I257" s="4" t="s">
        <v>24</v>
      </c>
      <c r="J257" s="4">
        <v>15</v>
      </c>
      <c r="K257" s="23">
        <v>0</v>
      </c>
      <c r="L257">
        <f>IF(Invoices[[#This Row],[Document Type]]="Return",Invoices[[#This Row],[Unit Price]]*-1,Invoices[[#This Row],[Unit Price]])</f>
        <v>0</v>
      </c>
      <c r="M257" t="str">
        <f>IF(Invoices[[#This Row],[New Unit Price]]&lt;0,"Return",
IF(Invoices[[#This Row],[New Unit Price]]=0,"Free",IF(Invoices[[#This Row],[New Unit Price]]&lt;100,"Basic","Premium")))</f>
        <v>Free</v>
      </c>
      <c r="N257">
        <f>VLOOKUP(Invoices[[#This Row],[Part  '#]],Products[],4,0)</f>
        <v>12.17</v>
      </c>
      <c r="O257" t="str">
        <f>VLOOKUP(Invoices[[#This Row],[Customer Account]],Customers[],4,0)</f>
        <v>Automotive</v>
      </c>
      <c r="P257" t="str">
        <f>VLOOKUP(Invoices[[#This Row],[Customer Account]],Customers[],3,0)</f>
        <v>Georgia</v>
      </c>
      <c r="Q257" t="str">
        <f>VLOOKUP(Invoices[[#This Row],[Part  '#]],Products[],3,0)</f>
        <v>Accessories</v>
      </c>
      <c r="R257" s="25">
        <f>Invoices[[#This Row],[Quantity]]*Invoices[[#This Row],[Unit Cost]]</f>
        <v>182.55</v>
      </c>
      <c r="S257" s="25">
        <f>Invoices[[#This Row],[Quantity]]*Invoices[[#This Row],[New Unit Price]]</f>
        <v>0</v>
      </c>
      <c r="T257" s="25">
        <f>Invoices[[#This Row],[Revenue]]-Invoices[[#This Row],[Cost]]</f>
        <v>-182.55</v>
      </c>
      <c r="U257" s="25" t="str">
        <f>TEXT(Invoices[[#This Row],[Date]],"MMM")</f>
        <v>Jul</v>
      </c>
      <c r="V257" s="29">
        <f>CHOOSE(MONTH(Invoices[[#This Row],[Date]]),1,1,1,2,2,2,3,3,3,4,4,4)</f>
        <v>3</v>
      </c>
      <c r="W257" s="30">
        <f>IFERROR(Invoices[[#This Row],[Profit]]/Invoices[[#This Row],[Revenue]],0)</f>
        <v>0</v>
      </c>
    </row>
    <row r="258" spans="1:23" x14ac:dyDescent="0.3">
      <c r="A258" s="19" t="s">
        <v>5</v>
      </c>
      <c r="B258" s="9">
        <v>22879</v>
      </c>
      <c r="C258" s="15">
        <v>41470</v>
      </c>
      <c r="D258" s="9">
        <v>101</v>
      </c>
      <c r="E258" s="10" t="s">
        <v>61</v>
      </c>
      <c r="F258" s="8">
        <v>3</v>
      </c>
      <c r="G258" s="10"/>
      <c r="H258" s="4" t="s">
        <v>116</v>
      </c>
      <c r="I258" s="4" t="s">
        <v>32</v>
      </c>
      <c r="J258" s="4">
        <v>15</v>
      </c>
      <c r="K258" s="23">
        <v>0</v>
      </c>
      <c r="L258">
        <f>IF(Invoices[[#This Row],[Document Type]]="Return",Invoices[[#This Row],[Unit Price]]*-1,Invoices[[#This Row],[Unit Price]])</f>
        <v>0</v>
      </c>
      <c r="M258" t="str">
        <f>IF(Invoices[[#This Row],[New Unit Price]]&lt;0,"Return",
IF(Invoices[[#This Row],[New Unit Price]]=0,"Free",IF(Invoices[[#This Row],[New Unit Price]]&lt;100,"Basic","Premium")))</f>
        <v>Free</v>
      </c>
      <c r="N258">
        <f>VLOOKUP(Invoices[[#This Row],[Part  '#]],Products[],4,0)</f>
        <v>8.15</v>
      </c>
      <c r="O258" t="str">
        <f>VLOOKUP(Invoices[[#This Row],[Customer Account]],Customers[],4,0)</f>
        <v>Automotive</v>
      </c>
      <c r="P258" t="str">
        <f>VLOOKUP(Invoices[[#This Row],[Customer Account]],Customers[],3,0)</f>
        <v>Georgia</v>
      </c>
      <c r="Q258" t="str">
        <f>VLOOKUP(Invoices[[#This Row],[Part  '#]],Products[],3,0)</f>
        <v>Accessories</v>
      </c>
      <c r="R258" s="25">
        <f>Invoices[[#This Row],[Quantity]]*Invoices[[#This Row],[Unit Cost]]</f>
        <v>122.25</v>
      </c>
      <c r="S258" s="25">
        <f>Invoices[[#This Row],[Quantity]]*Invoices[[#This Row],[New Unit Price]]</f>
        <v>0</v>
      </c>
      <c r="T258" s="25">
        <f>Invoices[[#This Row],[Revenue]]-Invoices[[#This Row],[Cost]]</f>
        <v>-122.25</v>
      </c>
      <c r="U258" s="25" t="str">
        <f>TEXT(Invoices[[#This Row],[Date]],"MMM")</f>
        <v>Jul</v>
      </c>
      <c r="V258" s="29">
        <f>CHOOSE(MONTH(Invoices[[#This Row],[Date]]),1,1,1,2,2,2,3,3,3,4,4,4)</f>
        <v>3</v>
      </c>
      <c r="W258" s="30">
        <f>IFERROR(Invoices[[#This Row],[Profit]]/Invoices[[#This Row],[Revenue]],0)</f>
        <v>0</v>
      </c>
    </row>
    <row r="259" spans="1:23" x14ac:dyDescent="0.3">
      <c r="A259" s="19" t="s">
        <v>5</v>
      </c>
      <c r="B259" s="9">
        <v>22879</v>
      </c>
      <c r="C259" s="15">
        <v>41470</v>
      </c>
      <c r="D259" s="9">
        <v>101</v>
      </c>
      <c r="E259" s="10" t="s">
        <v>61</v>
      </c>
      <c r="F259" s="8">
        <v>4</v>
      </c>
      <c r="G259" s="10"/>
      <c r="H259" s="4" t="s">
        <v>118</v>
      </c>
      <c r="I259" s="4" t="s">
        <v>42</v>
      </c>
      <c r="J259" s="4">
        <v>15</v>
      </c>
      <c r="K259" s="23">
        <v>0</v>
      </c>
      <c r="L259">
        <f>IF(Invoices[[#This Row],[Document Type]]="Return",Invoices[[#This Row],[Unit Price]]*-1,Invoices[[#This Row],[Unit Price]])</f>
        <v>0</v>
      </c>
      <c r="M259" t="str">
        <f>IF(Invoices[[#This Row],[New Unit Price]]&lt;0,"Return",
IF(Invoices[[#This Row],[New Unit Price]]=0,"Free",IF(Invoices[[#This Row],[New Unit Price]]&lt;100,"Basic","Premium")))</f>
        <v>Free</v>
      </c>
      <c r="N259">
        <f>VLOOKUP(Invoices[[#This Row],[Part  '#]],Products[],4,0)</f>
        <v>12.33</v>
      </c>
      <c r="O259" t="str">
        <f>VLOOKUP(Invoices[[#This Row],[Customer Account]],Customers[],4,0)</f>
        <v>Automotive</v>
      </c>
      <c r="P259" t="str">
        <f>VLOOKUP(Invoices[[#This Row],[Customer Account]],Customers[],3,0)</f>
        <v>Georgia</v>
      </c>
      <c r="Q259" t="str">
        <f>VLOOKUP(Invoices[[#This Row],[Part  '#]],Products[],3,0)</f>
        <v>Accessories</v>
      </c>
      <c r="R259" s="25">
        <f>Invoices[[#This Row],[Quantity]]*Invoices[[#This Row],[Unit Cost]]</f>
        <v>184.95</v>
      </c>
      <c r="S259" s="25">
        <f>Invoices[[#This Row],[Quantity]]*Invoices[[#This Row],[New Unit Price]]</f>
        <v>0</v>
      </c>
      <c r="T259" s="25">
        <f>Invoices[[#This Row],[Revenue]]-Invoices[[#This Row],[Cost]]</f>
        <v>-184.95</v>
      </c>
      <c r="U259" s="25" t="str">
        <f>TEXT(Invoices[[#This Row],[Date]],"MMM")</f>
        <v>Jul</v>
      </c>
      <c r="V259" s="29">
        <f>CHOOSE(MONTH(Invoices[[#This Row],[Date]]),1,1,1,2,2,2,3,3,3,4,4,4)</f>
        <v>3</v>
      </c>
      <c r="W259" s="30">
        <f>IFERROR(Invoices[[#This Row],[Profit]]/Invoices[[#This Row],[Revenue]],0)</f>
        <v>0</v>
      </c>
    </row>
    <row r="260" spans="1:23" x14ac:dyDescent="0.3">
      <c r="A260" s="19" t="s">
        <v>5</v>
      </c>
      <c r="B260" s="9">
        <v>22879</v>
      </c>
      <c r="C260" s="15">
        <v>41470</v>
      </c>
      <c r="D260" s="9">
        <v>101</v>
      </c>
      <c r="E260" s="10" t="s">
        <v>61</v>
      </c>
      <c r="F260" s="8">
        <v>5</v>
      </c>
      <c r="G260" s="10"/>
      <c r="H260" s="4" t="s">
        <v>120</v>
      </c>
      <c r="I260" s="4" t="s">
        <v>54</v>
      </c>
      <c r="J260" s="4">
        <v>2</v>
      </c>
      <c r="K260" s="23">
        <v>0</v>
      </c>
      <c r="L260">
        <f>IF(Invoices[[#This Row],[Document Type]]="Return",Invoices[[#This Row],[Unit Price]]*-1,Invoices[[#This Row],[Unit Price]])</f>
        <v>0</v>
      </c>
      <c r="M260" t="str">
        <f>IF(Invoices[[#This Row],[New Unit Price]]&lt;0,"Return",
IF(Invoices[[#This Row],[New Unit Price]]=0,"Free",IF(Invoices[[#This Row],[New Unit Price]]&lt;100,"Basic","Premium")))</f>
        <v>Free</v>
      </c>
      <c r="N260">
        <f>VLOOKUP(Invoices[[#This Row],[Part  '#]],Products[],4,0)</f>
        <v>89.7</v>
      </c>
      <c r="O260" t="str">
        <f>VLOOKUP(Invoices[[#This Row],[Customer Account]],Customers[],4,0)</f>
        <v>Automotive</v>
      </c>
      <c r="P260" t="str">
        <f>VLOOKUP(Invoices[[#This Row],[Customer Account]],Customers[],3,0)</f>
        <v>Georgia</v>
      </c>
      <c r="Q260" t="str">
        <f>VLOOKUP(Invoices[[#This Row],[Part  '#]],Products[],3,0)</f>
        <v>Accessories</v>
      </c>
      <c r="R260" s="25">
        <f>Invoices[[#This Row],[Quantity]]*Invoices[[#This Row],[Unit Cost]]</f>
        <v>179.4</v>
      </c>
      <c r="S260" s="25">
        <f>Invoices[[#This Row],[Quantity]]*Invoices[[#This Row],[New Unit Price]]</f>
        <v>0</v>
      </c>
      <c r="T260" s="25">
        <f>Invoices[[#This Row],[Revenue]]-Invoices[[#This Row],[Cost]]</f>
        <v>-179.4</v>
      </c>
      <c r="U260" s="25" t="str">
        <f>TEXT(Invoices[[#This Row],[Date]],"MMM")</f>
        <v>Jul</v>
      </c>
      <c r="V260" s="29">
        <f>CHOOSE(MONTH(Invoices[[#This Row],[Date]]),1,1,1,2,2,2,3,3,3,4,4,4)</f>
        <v>3</v>
      </c>
      <c r="W260" s="30">
        <f>IFERROR(Invoices[[#This Row],[Profit]]/Invoices[[#This Row],[Revenue]],0)</f>
        <v>0</v>
      </c>
    </row>
    <row r="261" spans="1:23" x14ac:dyDescent="0.3">
      <c r="A261" s="19" t="s">
        <v>5</v>
      </c>
      <c r="B261" s="9">
        <v>22880</v>
      </c>
      <c r="C261" s="15">
        <v>41481</v>
      </c>
      <c r="D261" s="9">
        <v>104</v>
      </c>
      <c r="E261" s="10" t="s">
        <v>65</v>
      </c>
      <c r="F261" s="8">
        <v>1</v>
      </c>
      <c r="G261" s="10"/>
      <c r="H261" s="4" t="s">
        <v>123</v>
      </c>
      <c r="I261" s="4" t="s">
        <v>38</v>
      </c>
      <c r="J261" s="4">
        <v>10</v>
      </c>
      <c r="K261" s="23">
        <v>20</v>
      </c>
      <c r="L261">
        <f>IF(Invoices[[#This Row],[Document Type]]="Return",Invoices[[#This Row],[Unit Price]]*-1,Invoices[[#This Row],[Unit Price]])</f>
        <v>20</v>
      </c>
      <c r="M261" t="str">
        <f>IF(Invoices[[#This Row],[New Unit Price]]&lt;0,"Return",
IF(Invoices[[#This Row],[New Unit Price]]=0,"Free",IF(Invoices[[#This Row],[New Unit Price]]&lt;100,"Basic","Premium")))</f>
        <v>Basic</v>
      </c>
      <c r="N261">
        <f>VLOOKUP(Invoices[[#This Row],[Part  '#]],Products[],4,0)</f>
        <v>4.58</v>
      </c>
      <c r="O261" t="str">
        <f>VLOOKUP(Invoices[[#This Row],[Customer Account]],Customers[],4,0)</f>
        <v>Automotive</v>
      </c>
      <c r="P261" t="str">
        <f>VLOOKUP(Invoices[[#This Row],[Customer Account]],Customers[],3,0)</f>
        <v>North Carolina</v>
      </c>
      <c r="Q261" t="str">
        <f>VLOOKUP(Invoices[[#This Row],[Part  '#]],Products[],3,0)</f>
        <v>Consumables</v>
      </c>
      <c r="R261" s="25">
        <f>Invoices[[#This Row],[Quantity]]*Invoices[[#This Row],[Unit Cost]]</f>
        <v>45.8</v>
      </c>
      <c r="S261" s="25">
        <f>Invoices[[#This Row],[Quantity]]*Invoices[[#This Row],[New Unit Price]]</f>
        <v>200</v>
      </c>
      <c r="T261" s="25">
        <f>Invoices[[#This Row],[Revenue]]-Invoices[[#This Row],[Cost]]</f>
        <v>154.19999999999999</v>
      </c>
      <c r="U261" s="25" t="str">
        <f>TEXT(Invoices[[#This Row],[Date]],"MMM")</f>
        <v>Jul</v>
      </c>
      <c r="V261" s="29">
        <f>CHOOSE(MONTH(Invoices[[#This Row],[Date]]),1,1,1,2,2,2,3,3,3,4,4,4)</f>
        <v>3</v>
      </c>
      <c r="W261" s="30">
        <f>IFERROR(Invoices[[#This Row],[Profit]]/Invoices[[#This Row],[Revenue]],0)</f>
        <v>0.77099999999999991</v>
      </c>
    </row>
    <row r="262" spans="1:23" x14ac:dyDescent="0.3">
      <c r="A262" s="19" t="s">
        <v>5</v>
      </c>
      <c r="B262" s="9">
        <v>22881</v>
      </c>
      <c r="C262" s="15">
        <v>41487</v>
      </c>
      <c r="D262" s="9">
        <v>101</v>
      </c>
      <c r="E262" s="10" t="s">
        <v>61</v>
      </c>
      <c r="F262" s="8">
        <v>1</v>
      </c>
      <c r="G262" s="10"/>
      <c r="H262" s="4" t="s">
        <v>125</v>
      </c>
      <c r="I262" s="4" t="s">
        <v>40</v>
      </c>
      <c r="J262" s="4">
        <v>250</v>
      </c>
      <c r="K262" s="23">
        <v>24</v>
      </c>
      <c r="L262">
        <f>IF(Invoices[[#This Row],[Document Type]]="Return",Invoices[[#This Row],[Unit Price]]*-1,Invoices[[#This Row],[Unit Price]])</f>
        <v>24</v>
      </c>
      <c r="M262" t="str">
        <f>IF(Invoices[[#This Row],[New Unit Price]]&lt;0,"Return",
IF(Invoices[[#This Row],[New Unit Price]]=0,"Free",IF(Invoices[[#This Row],[New Unit Price]]&lt;100,"Basic","Premium")))</f>
        <v>Basic</v>
      </c>
      <c r="N262">
        <f>VLOOKUP(Invoices[[#This Row],[Part  '#]],Products[],4,0)</f>
        <v>6.9</v>
      </c>
      <c r="O262" t="str">
        <f>VLOOKUP(Invoices[[#This Row],[Customer Account]],Customers[],4,0)</f>
        <v>Automotive</v>
      </c>
      <c r="P262" t="str">
        <f>VLOOKUP(Invoices[[#This Row],[Customer Account]],Customers[],3,0)</f>
        <v>Georgia</v>
      </c>
      <c r="Q262" t="str">
        <f>VLOOKUP(Invoices[[#This Row],[Part  '#]],Products[],3,0)</f>
        <v>Consumables</v>
      </c>
      <c r="R262" s="25">
        <f>Invoices[[#This Row],[Quantity]]*Invoices[[#This Row],[Unit Cost]]</f>
        <v>1725</v>
      </c>
      <c r="S262" s="25">
        <f>Invoices[[#This Row],[Quantity]]*Invoices[[#This Row],[New Unit Price]]</f>
        <v>6000</v>
      </c>
      <c r="T262" s="25">
        <f>Invoices[[#This Row],[Revenue]]-Invoices[[#This Row],[Cost]]</f>
        <v>4275</v>
      </c>
      <c r="U262" s="25" t="str">
        <f>TEXT(Invoices[[#This Row],[Date]],"MMM")</f>
        <v>Aug</v>
      </c>
      <c r="V262" s="29">
        <f>CHOOSE(MONTH(Invoices[[#This Row],[Date]]),1,1,1,2,2,2,3,3,3,4,4,4)</f>
        <v>3</v>
      </c>
      <c r="W262" s="30">
        <f>IFERROR(Invoices[[#This Row],[Profit]]/Invoices[[#This Row],[Revenue]],0)</f>
        <v>0.71250000000000002</v>
      </c>
    </row>
    <row r="263" spans="1:23" x14ac:dyDescent="0.3">
      <c r="A263" s="19" t="s">
        <v>5</v>
      </c>
      <c r="B263" s="9">
        <v>22881</v>
      </c>
      <c r="C263" s="15">
        <v>41487</v>
      </c>
      <c r="D263" s="9">
        <v>101</v>
      </c>
      <c r="E263" s="10" t="s">
        <v>61</v>
      </c>
      <c r="F263" s="8">
        <v>2</v>
      </c>
      <c r="G263" s="10"/>
      <c r="H263" s="4" t="s">
        <v>132</v>
      </c>
      <c r="I263" s="4" t="s">
        <v>49</v>
      </c>
      <c r="J263" s="4">
        <v>25</v>
      </c>
      <c r="K263" s="23">
        <v>70</v>
      </c>
      <c r="L263">
        <f>IF(Invoices[[#This Row],[Document Type]]="Return",Invoices[[#This Row],[Unit Price]]*-1,Invoices[[#This Row],[Unit Price]])</f>
        <v>70</v>
      </c>
      <c r="M263" t="str">
        <f>IF(Invoices[[#This Row],[New Unit Price]]&lt;0,"Return",
IF(Invoices[[#This Row],[New Unit Price]]=0,"Free",IF(Invoices[[#This Row],[New Unit Price]]&lt;100,"Basic","Premium")))</f>
        <v>Basic</v>
      </c>
      <c r="N263">
        <f>VLOOKUP(Invoices[[#This Row],[Part  '#]],Products[],4,0)</f>
        <v>13.92</v>
      </c>
      <c r="O263" t="str">
        <f>VLOOKUP(Invoices[[#This Row],[Customer Account]],Customers[],4,0)</f>
        <v>Automotive</v>
      </c>
      <c r="P263" t="str">
        <f>VLOOKUP(Invoices[[#This Row],[Customer Account]],Customers[],3,0)</f>
        <v>Georgia</v>
      </c>
      <c r="Q263" t="str">
        <f>VLOOKUP(Invoices[[#This Row],[Part  '#]],Products[],3,0)</f>
        <v>Consumables</v>
      </c>
      <c r="R263" s="25">
        <f>Invoices[[#This Row],[Quantity]]*Invoices[[#This Row],[Unit Cost]]</f>
        <v>348</v>
      </c>
      <c r="S263" s="25">
        <f>Invoices[[#This Row],[Quantity]]*Invoices[[#This Row],[New Unit Price]]</f>
        <v>1750</v>
      </c>
      <c r="T263" s="25">
        <f>Invoices[[#This Row],[Revenue]]-Invoices[[#This Row],[Cost]]</f>
        <v>1402</v>
      </c>
      <c r="U263" s="25" t="str">
        <f>TEXT(Invoices[[#This Row],[Date]],"MMM")</f>
        <v>Aug</v>
      </c>
      <c r="V263" s="29">
        <f>CHOOSE(MONTH(Invoices[[#This Row],[Date]]),1,1,1,2,2,2,3,3,3,4,4,4)</f>
        <v>3</v>
      </c>
      <c r="W263" s="30">
        <f>IFERROR(Invoices[[#This Row],[Profit]]/Invoices[[#This Row],[Revenue]],0)</f>
        <v>0.80114285714285716</v>
      </c>
    </row>
    <row r="264" spans="1:23" x14ac:dyDescent="0.3">
      <c r="A264" s="19" t="s">
        <v>5</v>
      </c>
      <c r="B264" s="9">
        <v>22882</v>
      </c>
      <c r="C264" s="15">
        <v>41487</v>
      </c>
      <c r="D264" s="9">
        <v>102</v>
      </c>
      <c r="E264" s="10" t="s">
        <v>63</v>
      </c>
      <c r="F264" s="8">
        <v>1</v>
      </c>
      <c r="G264" s="10"/>
      <c r="H264" s="4" t="s">
        <v>124</v>
      </c>
      <c r="I264" s="4" t="s">
        <v>39</v>
      </c>
      <c r="J264" s="4">
        <v>40</v>
      </c>
      <c r="K264" s="23">
        <v>35</v>
      </c>
      <c r="L264">
        <f>IF(Invoices[[#This Row],[Document Type]]="Return",Invoices[[#This Row],[Unit Price]]*-1,Invoices[[#This Row],[Unit Price]])</f>
        <v>35</v>
      </c>
      <c r="M264" t="str">
        <f>IF(Invoices[[#This Row],[New Unit Price]]&lt;0,"Return",
IF(Invoices[[#This Row],[New Unit Price]]=0,"Free",IF(Invoices[[#This Row],[New Unit Price]]&lt;100,"Basic","Premium")))</f>
        <v>Basic</v>
      </c>
      <c r="N264">
        <f>VLOOKUP(Invoices[[#This Row],[Part  '#]],Products[],4,0)</f>
        <v>6.37</v>
      </c>
      <c r="O264" t="str">
        <f>VLOOKUP(Invoices[[#This Row],[Customer Account]],Customers[],4,0)</f>
        <v>Automotive</v>
      </c>
      <c r="P264" t="str">
        <f>VLOOKUP(Invoices[[#This Row],[Customer Account]],Customers[],3,0)</f>
        <v>Georgia</v>
      </c>
      <c r="Q264" t="str">
        <f>VLOOKUP(Invoices[[#This Row],[Part  '#]],Products[],3,0)</f>
        <v>Consumables</v>
      </c>
      <c r="R264" s="25">
        <f>Invoices[[#This Row],[Quantity]]*Invoices[[#This Row],[Unit Cost]]</f>
        <v>254.8</v>
      </c>
      <c r="S264" s="25">
        <f>Invoices[[#This Row],[Quantity]]*Invoices[[#This Row],[New Unit Price]]</f>
        <v>1400</v>
      </c>
      <c r="T264" s="25">
        <f>Invoices[[#This Row],[Revenue]]-Invoices[[#This Row],[Cost]]</f>
        <v>1145.2</v>
      </c>
      <c r="U264" s="25" t="str">
        <f>TEXT(Invoices[[#This Row],[Date]],"MMM")</f>
        <v>Aug</v>
      </c>
      <c r="V264" s="29">
        <f>CHOOSE(MONTH(Invoices[[#This Row],[Date]]),1,1,1,2,2,2,3,3,3,4,4,4)</f>
        <v>3</v>
      </c>
      <c r="W264" s="30">
        <f>IFERROR(Invoices[[#This Row],[Profit]]/Invoices[[#This Row],[Revenue]],0)</f>
        <v>0.81800000000000006</v>
      </c>
    </row>
    <row r="265" spans="1:23" x14ac:dyDescent="0.3">
      <c r="A265" s="19" t="s">
        <v>5</v>
      </c>
      <c r="B265" s="9">
        <v>22882</v>
      </c>
      <c r="C265" s="15">
        <v>41487</v>
      </c>
      <c r="D265" s="9">
        <v>102</v>
      </c>
      <c r="E265" s="10" t="s">
        <v>63</v>
      </c>
      <c r="F265" s="8">
        <v>2</v>
      </c>
      <c r="G265" s="10"/>
      <c r="H265" s="4" t="s">
        <v>132</v>
      </c>
      <c r="I265" s="4" t="s">
        <v>49</v>
      </c>
      <c r="J265" s="4">
        <v>5</v>
      </c>
      <c r="K265" s="23">
        <v>70</v>
      </c>
      <c r="L265">
        <f>IF(Invoices[[#This Row],[Document Type]]="Return",Invoices[[#This Row],[Unit Price]]*-1,Invoices[[#This Row],[Unit Price]])</f>
        <v>70</v>
      </c>
      <c r="M265" t="str">
        <f>IF(Invoices[[#This Row],[New Unit Price]]&lt;0,"Return",
IF(Invoices[[#This Row],[New Unit Price]]=0,"Free",IF(Invoices[[#This Row],[New Unit Price]]&lt;100,"Basic","Premium")))</f>
        <v>Basic</v>
      </c>
      <c r="N265">
        <f>VLOOKUP(Invoices[[#This Row],[Part  '#]],Products[],4,0)</f>
        <v>13.92</v>
      </c>
      <c r="O265" t="str">
        <f>VLOOKUP(Invoices[[#This Row],[Customer Account]],Customers[],4,0)</f>
        <v>Automotive</v>
      </c>
      <c r="P265" t="str">
        <f>VLOOKUP(Invoices[[#This Row],[Customer Account]],Customers[],3,0)</f>
        <v>Georgia</v>
      </c>
      <c r="Q265" t="str">
        <f>VLOOKUP(Invoices[[#This Row],[Part  '#]],Products[],3,0)</f>
        <v>Consumables</v>
      </c>
      <c r="R265" s="25">
        <f>Invoices[[#This Row],[Quantity]]*Invoices[[#This Row],[Unit Cost]]</f>
        <v>69.599999999999994</v>
      </c>
      <c r="S265" s="25">
        <f>Invoices[[#This Row],[Quantity]]*Invoices[[#This Row],[New Unit Price]]</f>
        <v>350</v>
      </c>
      <c r="T265" s="25">
        <f>Invoices[[#This Row],[Revenue]]-Invoices[[#This Row],[Cost]]</f>
        <v>280.39999999999998</v>
      </c>
      <c r="U265" s="25" t="str">
        <f>TEXT(Invoices[[#This Row],[Date]],"MMM")</f>
        <v>Aug</v>
      </c>
      <c r="V265" s="29">
        <f>CHOOSE(MONTH(Invoices[[#This Row],[Date]]),1,1,1,2,2,2,3,3,3,4,4,4)</f>
        <v>3</v>
      </c>
      <c r="W265" s="30">
        <f>IFERROR(Invoices[[#This Row],[Profit]]/Invoices[[#This Row],[Revenue]],0)</f>
        <v>0.80114285714285705</v>
      </c>
    </row>
    <row r="266" spans="1:23" x14ac:dyDescent="0.3">
      <c r="A266" s="19" t="s">
        <v>5</v>
      </c>
      <c r="B266" s="9">
        <v>22883</v>
      </c>
      <c r="C266" s="15">
        <v>41487</v>
      </c>
      <c r="D266" s="9">
        <v>105</v>
      </c>
      <c r="E266" s="10" t="s">
        <v>67</v>
      </c>
      <c r="F266" s="8">
        <v>1</v>
      </c>
      <c r="G266" s="10"/>
      <c r="H266" s="4" t="s">
        <v>125</v>
      </c>
      <c r="I266" s="4" t="s">
        <v>40</v>
      </c>
      <c r="J266" s="4">
        <v>120</v>
      </c>
      <c r="K266" s="23">
        <v>24</v>
      </c>
      <c r="L266">
        <f>IF(Invoices[[#This Row],[Document Type]]="Return",Invoices[[#This Row],[Unit Price]]*-1,Invoices[[#This Row],[Unit Price]])</f>
        <v>24</v>
      </c>
      <c r="M266" t="str">
        <f>IF(Invoices[[#This Row],[New Unit Price]]&lt;0,"Return",
IF(Invoices[[#This Row],[New Unit Price]]=0,"Free",IF(Invoices[[#This Row],[New Unit Price]]&lt;100,"Basic","Premium")))</f>
        <v>Basic</v>
      </c>
      <c r="N266">
        <f>VLOOKUP(Invoices[[#This Row],[Part  '#]],Products[],4,0)</f>
        <v>6.9</v>
      </c>
      <c r="O266" t="str">
        <f>VLOOKUP(Invoices[[#This Row],[Customer Account]],Customers[],4,0)</f>
        <v>Automotive</v>
      </c>
      <c r="P266" t="str">
        <f>VLOOKUP(Invoices[[#This Row],[Customer Account]],Customers[],3,0)</f>
        <v>South Carolina</v>
      </c>
      <c r="Q266" t="str">
        <f>VLOOKUP(Invoices[[#This Row],[Part  '#]],Products[],3,0)</f>
        <v>Consumables</v>
      </c>
      <c r="R266" s="25">
        <f>Invoices[[#This Row],[Quantity]]*Invoices[[#This Row],[Unit Cost]]</f>
        <v>828</v>
      </c>
      <c r="S266" s="25">
        <f>Invoices[[#This Row],[Quantity]]*Invoices[[#This Row],[New Unit Price]]</f>
        <v>2880</v>
      </c>
      <c r="T266" s="25">
        <f>Invoices[[#This Row],[Revenue]]-Invoices[[#This Row],[Cost]]</f>
        <v>2052</v>
      </c>
      <c r="U266" s="25" t="str">
        <f>TEXT(Invoices[[#This Row],[Date]],"MMM")</f>
        <v>Aug</v>
      </c>
      <c r="V266" s="29">
        <f>CHOOSE(MONTH(Invoices[[#This Row],[Date]]),1,1,1,2,2,2,3,3,3,4,4,4)</f>
        <v>3</v>
      </c>
      <c r="W266" s="30">
        <f>IFERROR(Invoices[[#This Row],[Profit]]/Invoices[[#This Row],[Revenue]],0)</f>
        <v>0.71250000000000002</v>
      </c>
    </row>
    <row r="267" spans="1:23" x14ac:dyDescent="0.3">
      <c r="A267" s="19" t="s">
        <v>5</v>
      </c>
      <c r="B267" s="9">
        <v>22883</v>
      </c>
      <c r="C267" s="15">
        <v>41487</v>
      </c>
      <c r="D267" s="9">
        <v>105</v>
      </c>
      <c r="E267" s="10" t="s">
        <v>67</v>
      </c>
      <c r="F267" s="8">
        <v>2</v>
      </c>
      <c r="G267" s="10"/>
      <c r="H267" s="4" t="s">
        <v>132</v>
      </c>
      <c r="I267" s="4" t="s">
        <v>49</v>
      </c>
      <c r="J267" s="4">
        <v>50</v>
      </c>
      <c r="K267" s="23">
        <v>70</v>
      </c>
      <c r="L267">
        <f>IF(Invoices[[#This Row],[Document Type]]="Return",Invoices[[#This Row],[Unit Price]]*-1,Invoices[[#This Row],[Unit Price]])</f>
        <v>70</v>
      </c>
      <c r="M267" t="str">
        <f>IF(Invoices[[#This Row],[New Unit Price]]&lt;0,"Return",
IF(Invoices[[#This Row],[New Unit Price]]=0,"Free",IF(Invoices[[#This Row],[New Unit Price]]&lt;100,"Basic","Premium")))</f>
        <v>Basic</v>
      </c>
      <c r="N267">
        <f>VLOOKUP(Invoices[[#This Row],[Part  '#]],Products[],4,0)</f>
        <v>13.92</v>
      </c>
      <c r="O267" t="str">
        <f>VLOOKUP(Invoices[[#This Row],[Customer Account]],Customers[],4,0)</f>
        <v>Automotive</v>
      </c>
      <c r="P267" t="str">
        <f>VLOOKUP(Invoices[[#This Row],[Customer Account]],Customers[],3,0)</f>
        <v>South Carolina</v>
      </c>
      <c r="Q267" t="str">
        <f>VLOOKUP(Invoices[[#This Row],[Part  '#]],Products[],3,0)</f>
        <v>Consumables</v>
      </c>
      <c r="R267" s="25">
        <f>Invoices[[#This Row],[Quantity]]*Invoices[[#This Row],[Unit Cost]]</f>
        <v>696</v>
      </c>
      <c r="S267" s="25">
        <f>Invoices[[#This Row],[Quantity]]*Invoices[[#This Row],[New Unit Price]]</f>
        <v>3500</v>
      </c>
      <c r="T267" s="25">
        <f>Invoices[[#This Row],[Revenue]]-Invoices[[#This Row],[Cost]]</f>
        <v>2804</v>
      </c>
      <c r="U267" s="25" t="str">
        <f>TEXT(Invoices[[#This Row],[Date]],"MMM")</f>
        <v>Aug</v>
      </c>
      <c r="V267" s="29">
        <f>CHOOSE(MONTH(Invoices[[#This Row],[Date]]),1,1,1,2,2,2,3,3,3,4,4,4)</f>
        <v>3</v>
      </c>
      <c r="W267" s="30">
        <f>IFERROR(Invoices[[#This Row],[Profit]]/Invoices[[#This Row],[Revenue]],0)</f>
        <v>0.80114285714285716</v>
      </c>
    </row>
    <row r="268" spans="1:23" x14ac:dyDescent="0.3">
      <c r="A268" s="19" t="s">
        <v>5</v>
      </c>
      <c r="B268" s="9">
        <v>22884</v>
      </c>
      <c r="C268" s="15">
        <v>41487</v>
      </c>
      <c r="D268" s="9">
        <v>106</v>
      </c>
      <c r="E268" s="10" t="s">
        <v>69</v>
      </c>
      <c r="F268" s="8">
        <v>1</v>
      </c>
      <c r="G268" s="10"/>
      <c r="H268" s="4" t="s">
        <v>123</v>
      </c>
      <c r="I268" s="4" t="s">
        <v>38</v>
      </c>
      <c r="J268" s="4">
        <v>80</v>
      </c>
      <c r="K268" s="23">
        <v>18</v>
      </c>
      <c r="L268">
        <f>IF(Invoices[[#This Row],[Document Type]]="Return",Invoices[[#This Row],[Unit Price]]*-1,Invoices[[#This Row],[Unit Price]])</f>
        <v>18</v>
      </c>
      <c r="M268" t="str">
        <f>IF(Invoices[[#This Row],[New Unit Price]]&lt;0,"Return",
IF(Invoices[[#This Row],[New Unit Price]]=0,"Free",IF(Invoices[[#This Row],[New Unit Price]]&lt;100,"Basic","Premium")))</f>
        <v>Basic</v>
      </c>
      <c r="N268">
        <f>VLOOKUP(Invoices[[#This Row],[Part  '#]],Products[],4,0)</f>
        <v>4.58</v>
      </c>
      <c r="O268" t="str">
        <f>VLOOKUP(Invoices[[#This Row],[Customer Account]],Customers[],4,0)</f>
        <v>Automotive</v>
      </c>
      <c r="P268" t="str">
        <f>VLOOKUP(Invoices[[#This Row],[Customer Account]],Customers[],3,0)</f>
        <v>Tennessee</v>
      </c>
      <c r="Q268" t="str">
        <f>VLOOKUP(Invoices[[#This Row],[Part  '#]],Products[],3,0)</f>
        <v>Consumables</v>
      </c>
      <c r="R268" s="25">
        <f>Invoices[[#This Row],[Quantity]]*Invoices[[#This Row],[Unit Cost]]</f>
        <v>366.4</v>
      </c>
      <c r="S268" s="25">
        <f>Invoices[[#This Row],[Quantity]]*Invoices[[#This Row],[New Unit Price]]</f>
        <v>1440</v>
      </c>
      <c r="T268" s="25">
        <f>Invoices[[#This Row],[Revenue]]-Invoices[[#This Row],[Cost]]</f>
        <v>1073.5999999999999</v>
      </c>
      <c r="U268" s="25" t="str">
        <f>TEXT(Invoices[[#This Row],[Date]],"MMM")</f>
        <v>Aug</v>
      </c>
      <c r="V268" s="29">
        <f>CHOOSE(MONTH(Invoices[[#This Row],[Date]]),1,1,1,2,2,2,3,3,3,4,4,4)</f>
        <v>3</v>
      </c>
      <c r="W268" s="30">
        <f>IFERROR(Invoices[[#This Row],[Profit]]/Invoices[[#This Row],[Revenue]],0)</f>
        <v>0.74555555555555553</v>
      </c>
    </row>
    <row r="269" spans="1:23" x14ac:dyDescent="0.3">
      <c r="A269" s="19" t="s">
        <v>5</v>
      </c>
      <c r="B269" s="9">
        <v>22884</v>
      </c>
      <c r="C269" s="15">
        <v>41487</v>
      </c>
      <c r="D269" s="9">
        <v>106</v>
      </c>
      <c r="E269" s="10" t="s">
        <v>69</v>
      </c>
      <c r="F269" s="8">
        <v>2</v>
      </c>
      <c r="G269" s="10"/>
      <c r="H269" s="4" t="s">
        <v>132</v>
      </c>
      <c r="I269" s="4" t="s">
        <v>49</v>
      </c>
      <c r="J269" s="4">
        <v>20</v>
      </c>
      <c r="K269" s="23">
        <v>70</v>
      </c>
      <c r="L269">
        <f>IF(Invoices[[#This Row],[Document Type]]="Return",Invoices[[#This Row],[Unit Price]]*-1,Invoices[[#This Row],[Unit Price]])</f>
        <v>70</v>
      </c>
      <c r="M269" t="str">
        <f>IF(Invoices[[#This Row],[New Unit Price]]&lt;0,"Return",
IF(Invoices[[#This Row],[New Unit Price]]=0,"Free",IF(Invoices[[#This Row],[New Unit Price]]&lt;100,"Basic","Premium")))</f>
        <v>Basic</v>
      </c>
      <c r="N269">
        <f>VLOOKUP(Invoices[[#This Row],[Part  '#]],Products[],4,0)</f>
        <v>13.92</v>
      </c>
      <c r="O269" t="str">
        <f>VLOOKUP(Invoices[[#This Row],[Customer Account]],Customers[],4,0)</f>
        <v>Automotive</v>
      </c>
      <c r="P269" t="str">
        <f>VLOOKUP(Invoices[[#This Row],[Customer Account]],Customers[],3,0)</f>
        <v>Tennessee</v>
      </c>
      <c r="Q269" t="str">
        <f>VLOOKUP(Invoices[[#This Row],[Part  '#]],Products[],3,0)</f>
        <v>Consumables</v>
      </c>
      <c r="R269" s="25">
        <f>Invoices[[#This Row],[Quantity]]*Invoices[[#This Row],[Unit Cost]]</f>
        <v>278.39999999999998</v>
      </c>
      <c r="S269" s="25">
        <f>Invoices[[#This Row],[Quantity]]*Invoices[[#This Row],[New Unit Price]]</f>
        <v>1400</v>
      </c>
      <c r="T269" s="25">
        <f>Invoices[[#This Row],[Revenue]]-Invoices[[#This Row],[Cost]]</f>
        <v>1121.5999999999999</v>
      </c>
      <c r="U269" s="25" t="str">
        <f>TEXT(Invoices[[#This Row],[Date]],"MMM")</f>
        <v>Aug</v>
      </c>
      <c r="V269" s="29">
        <f>CHOOSE(MONTH(Invoices[[#This Row],[Date]]),1,1,1,2,2,2,3,3,3,4,4,4)</f>
        <v>3</v>
      </c>
      <c r="W269" s="30">
        <f>IFERROR(Invoices[[#This Row],[Profit]]/Invoices[[#This Row],[Revenue]],0)</f>
        <v>0.80114285714285705</v>
      </c>
    </row>
    <row r="270" spans="1:23" x14ac:dyDescent="0.3">
      <c r="A270" s="19" t="s">
        <v>5</v>
      </c>
      <c r="B270" s="9">
        <v>22885</v>
      </c>
      <c r="C270" s="15">
        <v>41487</v>
      </c>
      <c r="D270" s="9">
        <v>107</v>
      </c>
      <c r="E270" s="10" t="s">
        <v>72</v>
      </c>
      <c r="F270" s="8">
        <v>1</v>
      </c>
      <c r="G270" s="10"/>
      <c r="H270" s="4" t="s">
        <v>125</v>
      </c>
      <c r="I270" s="4" t="s">
        <v>40</v>
      </c>
      <c r="J270" s="4">
        <v>10</v>
      </c>
      <c r="K270" s="23">
        <v>30</v>
      </c>
      <c r="L270">
        <f>IF(Invoices[[#This Row],[Document Type]]="Return",Invoices[[#This Row],[Unit Price]]*-1,Invoices[[#This Row],[Unit Price]])</f>
        <v>30</v>
      </c>
      <c r="M270" t="str">
        <f>IF(Invoices[[#This Row],[New Unit Price]]&lt;0,"Return",
IF(Invoices[[#This Row],[New Unit Price]]=0,"Free",IF(Invoices[[#This Row],[New Unit Price]]&lt;100,"Basic","Premium")))</f>
        <v>Basic</v>
      </c>
      <c r="N270">
        <f>VLOOKUP(Invoices[[#This Row],[Part  '#]],Products[],4,0)</f>
        <v>6.9</v>
      </c>
      <c r="O270" t="str">
        <f>VLOOKUP(Invoices[[#This Row],[Customer Account]],Customers[],4,0)</f>
        <v>Financial</v>
      </c>
      <c r="P270" t="str">
        <f>VLOOKUP(Invoices[[#This Row],[Customer Account]],Customers[],3,0)</f>
        <v>Georgia</v>
      </c>
      <c r="Q270" t="str">
        <f>VLOOKUP(Invoices[[#This Row],[Part  '#]],Products[],3,0)</f>
        <v>Consumables</v>
      </c>
      <c r="R270" s="25">
        <f>Invoices[[#This Row],[Quantity]]*Invoices[[#This Row],[Unit Cost]]</f>
        <v>69</v>
      </c>
      <c r="S270" s="25">
        <f>Invoices[[#This Row],[Quantity]]*Invoices[[#This Row],[New Unit Price]]</f>
        <v>300</v>
      </c>
      <c r="T270" s="25">
        <f>Invoices[[#This Row],[Revenue]]-Invoices[[#This Row],[Cost]]</f>
        <v>231</v>
      </c>
      <c r="U270" s="25" t="str">
        <f>TEXT(Invoices[[#This Row],[Date]],"MMM")</f>
        <v>Aug</v>
      </c>
      <c r="V270" s="29">
        <f>CHOOSE(MONTH(Invoices[[#This Row],[Date]]),1,1,1,2,2,2,3,3,3,4,4,4)</f>
        <v>3</v>
      </c>
      <c r="W270" s="30">
        <f>IFERROR(Invoices[[#This Row],[Profit]]/Invoices[[#This Row],[Revenue]],0)</f>
        <v>0.77</v>
      </c>
    </row>
    <row r="271" spans="1:23" x14ac:dyDescent="0.3">
      <c r="A271" s="19" t="s">
        <v>5</v>
      </c>
      <c r="B271" s="9">
        <v>22886</v>
      </c>
      <c r="C271" s="15">
        <v>41487</v>
      </c>
      <c r="D271" s="9">
        <v>107</v>
      </c>
      <c r="E271" s="10" t="s">
        <v>72</v>
      </c>
      <c r="F271" s="8">
        <v>1</v>
      </c>
      <c r="G271" s="10"/>
      <c r="H271" s="4" t="s">
        <v>135</v>
      </c>
      <c r="I271" s="4" t="s">
        <v>52</v>
      </c>
      <c r="J271" s="4">
        <v>1</v>
      </c>
      <c r="K271" s="23">
        <v>100</v>
      </c>
      <c r="L271">
        <f>IF(Invoices[[#This Row],[Document Type]]="Return",Invoices[[#This Row],[Unit Price]]*-1,Invoices[[#This Row],[Unit Price]])</f>
        <v>100</v>
      </c>
      <c r="M271" t="str">
        <f>IF(Invoices[[#This Row],[New Unit Price]]&lt;0,"Return",
IF(Invoices[[#This Row],[New Unit Price]]=0,"Free",IF(Invoices[[#This Row],[New Unit Price]]&lt;100,"Basic","Premium")))</f>
        <v>Premium</v>
      </c>
      <c r="N271">
        <f>VLOOKUP(Invoices[[#This Row],[Part  '#]],Products[],4,0)</f>
        <v>27.17</v>
      </c>
      <c r="O271" t="str">
        <f>VLOOKUP(Invoices[[#This Row],[Customer Account]],Customers[],4,0)</f>
        <v>Financial</v>
      </c>
      <c r="P271" t="str">
        <f>VLOOKUP(Invoices[[#This Row],[Customer Account]],Customers[],3,0)</f>
        <v>Georgia</v>
      </c>
      <c r="Q271" t="str">
        <f>VLOOKUP(Invoices[[#This Row],[Part  '#]],Products[],3,0)</f>
        <v>Consumables</v>
      </c>
      <c r="R271" s="25">
        <f>Invoices[[#This Row],[Quantity]]*Invoices[[#This Row],[Unit Cost]]</f>
        <v>27.17</v>
      </c>
      <c r="S271" s="25">
        <f>Invoices[[#This Row],[Quantity]]*Invoices[[#This Row],[New Unit Price]]</f>
        <v>100</v>
      </c>
      <c r="T271" s="25">
        <f>Invoices[[#This Row],[Revenue]]-Invoices[[#This Row],[Cost]]</f>
        <v>72.83</v>
      </c>
      <c r="U271" s="25" t="str">
        <f>TEXT(Invoices[[#This Row],[Date]],"MMM")</f>
        <v>Aug</v>
      </c>
      <c r="V271" s="29">
        <f>CHOOSE(MONTH(Invoices[[#This Row],[Date]]),1,1,1,2,2,2,3,3,3,4,4,4)</f>
        <v>3</v>
      </c>
      <c r="W271" s="30">
        <f>IFERROR(Invoices[[#This Row],[Profit]]/Invoices[[#This Row],[Revenue]],0)</f>
        <v>0.72829999999999995</v>
      </c>
    </row>
    <row r="272" spans="1:23" x14ac:dyDescent="0.3">
      <c r="A272" s="19" t="s">
        <v>5</v>
      </c>
      <c r="B272" s="9">
        <v>22886</v>
      </c>
      <c r="C272" s="15">
        <v>41487</v>
      </c>
      <c r="D272" s="9">
        <v>107</v>
      </c>
      <c r="E272" s="10" t="s">
        <v>72</v>
      </c>
      <c r="F272" s="8">
        <v>2</v>
      </c>
      <c r="G272" s="10"/>
      <c r="H272" s="4" t="s">
        <v>132</v>
      </c>
      <c r="I272" s="4" t="s">
        <v>49</v>
      </c>
      <c r="J272" s="4">
        <v>2</v>
      </c>
      <c r="K272" s="23">
        <v>70</v>
      </c>
      <c r="L272">
        <f>IF(Invoices[[#This Row],[Document Type]]="Return",Invoices[[#This Row],[Unit Price]]*-1,Invoices[[#This Row],[Unit Price]])</f>
        <v>70</v>
      </c>
      <c r="M272" t="str">
        <f>IF(Invoices[[#This Row],[New Unit Price]]&lt;0,"Return",
IF(Invoices[[#This Row],[New Unit Price]]=0,"Free",IF(Invoices[[#This Row],[New Unit Price]]&lt;100,"Basic","Premium")))</f>
        <v>Basic</v>
      </c>
      <c r="N272">
        <f>VLOOKUP(Invoices[[#This Row],[Part  '#]],Products[],4,0)</f>
        <v>13.92</v>
      </c>
      <c r="O272" t="str">
        <f>VLOOKUP(Invoices[[#This Row],[Customer Account]],Customers[],4,0)</f>
        <v>Financial</v>
      </c>
      <c r="P272" t="str">
        <f>VLOOKUP(Invoices[[#This Row],[Customer Account]],Customers[],3,0)</f>
        <v>Georgia</v>
      </c>
      <c r="Q272" t="str">
        <f>VLOOKUP(Invoices[[#This Row],[Part  '#]],Products[],3,0)</f>
        <v>Consumables</v>
      </c>
      <c r="R272" s="25">
        <f>Invoices[[#This Row],[Quantity]]*Invoices[[#This Row],[Unit Cost]]</f>
        <v>27.84</v>
      </c>
      <c r="S272" s="25">
        <f>Invoices[[#This Row],[Quantity]]*Invoices[[#This Row],[New Unit Price]]</f>
        <v>140</v>
      </c>
      <c r="T272" s="25">
        <f>Invoices[[#This Row],[Revenue]]-Invoices[[#This Row],[Cost]]</f>
        <v>112.16</v>
      </c>
      <c r="U272" s="25" t="str">
        <f>TEXT(Invoices[[#This Row],[Date]],"MMM")</f>
        <v>Aug</v>
      </c>
      <c r="V272" s="29">
        <f>CHOOSE(MONTH(Invoices[[#This Row],[Date]]),1,1,1,2,2,2,3,3,3,4,4,4)</f>
        <v>3</v>
      </c>
      <c r="W272" s="30">
        <f>IFERROR(Invoices[[#This Row],[Profit]]/Invoices[[#This Row],[Revenue]],0)</f>
        <v>0.80114285714285716</v>
      </c>
    </row>
    <row r="273" spans="1:23" x14ac:dyDescent="0.3">
      <c r="A273" s="19" t="s">
        <v>5</v>
      </c>
      <c r="B273" s="9">
        <v>22886</v>
      </c>
      <c r="C273" s="15">
        <v>41487</v>
      </c>
      <c r="D273" s="9">
        <v>107</v>
      </c>
      <c r="E273" s="10" t="s">
        <v>72</v>
      </c>
      <c r="F273" s="8">
        <v>2</v>
      </c>
      <c r="G273" s="10"/>
      <c r="H273" s="4" t="s">
        <v>136</v>
      </c>
      <c r="I273" s="4" t="s">
        <v>53</v>
      </c>
      <c r="J273" s="4">
        <v>1</v>
      </c>
      <c r="K273" s="23">
        <v>140</v>
      </c>
      <c r="L273">
        <f>IF(Invoices[[#This Row],[Document Type]]="Return",Invoices[[#This Row],[Unit Price]]*-1,Invoices[[#This Row],[Unit Price]])</f>
        <v>140</v>
      </c>
      <c r="M273" t="str">
        <f>IF(Invoices[[#This Row],[New Unit Price]]&lt;0,"Return",
IF(Invoices[[#This Row],[New Unit Price]]=0,"Free",IF(Invoices[[#This Row],[New Unit Price]]&lt;100,"Basic","Premium")))</f>
        <v>Premium</v>
      </c>
      <c r="N273">
        <f>VLOOKUP(Invoices[[#This Row],[Part  '#]],Products[],4,0)</f>
        <v>34.299999999999997</v>
      </c>
      <c r="O273" t="str">
        <f>VLOOKUP(Invoices[[#This Row],[Customer Account]],Customers[],4,0)</f>
        <v>Financial</v>
      </c>
      <c r="P273" t="str">
        <f>VLOOKUP(Invoices[[#This Row],[Customer Account]],Customers[],3,0)</f>
        <v>Georgia</v>
      </c>
      <c r="Q273" t="str">
        <f>VLOOKUP(Invoices[[#This Row],[Part  '#]],Products[],3,0)</f>
        <v>Consumables</v>
      </c>
      <c r="R273" s="25">
        <f>Invoices[[#This Row],[Quantity]]*Invoices[[#This Row],[Unit Cost]]</f>
        <v>34.299999999999997</v>
      </c>
      <c r="S273" s="25">
        <f>Invoices[[#This Row],[Quantity]]*Invoices[[#This Row],[New Unit Price]]</f>
        <v>140</v>
      </c>
      <c r="T273" s="25">
        <f>Invoices[[#This Row],[Revenue]]-Invoices[[#This Row],[Cost]]</f>
        <v>105.7</v>
      </c>
      <c r="U273" s="25" t="str">
        <f>TEXT(Invoices[[#This Row],[Date]],"MMM")</f>
        <v>Aug</v>
      </c>
      <c r="V273" s="29">
        <f>CHOOSE(MONTH(Invoices[[#This Row],[Date]]),1,1,1,2,2,2,3,3,3,4,4,4)</f>
        <v>3</v>
      </c>
      <c r="W273" s="30">
        <f>IFERROR(Invoices[[#This Row],[Profit]]/Invoices[[#This Row],[Revenue]],0)</f>
        <v>0.755</v>
      </c>
    </row>
    <row r="274" spans="1:23" x14ac:dyDescent="0.3">
      <c r="A274" s="19" t="s">
        <v>5</v>
      </c>
      <c r="B274" s="9">
        <v>22887</v>
      </c>
      <c r="C274" s="15">
        <v>41487</v>
      </c>
      <c r="D274" s="9">
        <v>112</v>
      </c>
      <c r="E274" s="10" t="s">
        <v>80</v>
      </c>
      <c r="F274" s="8">
        <v>1</v>
      </c>
      <c r="G274" s="10"/>
      <c r="H274" s="4" t="s">
        <v>132</v>
      </c>
      <c r="I274" s="4" t="s">
        <v>49</v>
      </c>
      <c r="J274" s="4">
        <v>5</v>
      </c>
      <c r="K274" s="23">
        <v>70</v>
      </c>
      <c r="L274">
        <f>IF(Invoices[[#This Row],[Document Type]]="Return",Invoices[[#This Row],[Unit Price]]*-1,Invoices[[#This Row],[Unit Price]])</f>
        <v>70</v>
      </c>
      <c r="M274" t="str">
        <f>IF(Invoices[[#This Row],[New Unit Price]]&lt;0,"Return",
IF(Invoices[[#This Row],[New Unit Price]]=0,"Free",IF(Invoices[[#This Row],[New Unit Price]]&lt;100,"Basic","Premium")))</f>
        <v>Basic</v>
      </c>
      <c r="N274">
        <f>VLOOKUP(Invoices[[#This Row],[Part  '#]],Products[],4,0)</f>
        <v>13.92</v>
      </c>
      <c r="O274" t="str">
        <f>VLOOKUP(Invoices[[#This Row],[Customer Account]],Customers[],4,0)</f>
        <v>Financial</v>
      </c>
      <c r="P274" t="str">
        <f>VLOOKUP(Invoices[[#This Row],[Customer Account]],Customers[],3,0)</f>
        <v>Georgia</v>
      </c>
      <c r="Q274" t="str">
        <f>VLOOKUP(Invoices[[#This Row],[Part  '#]],Products[],3,0)</f>
        <v>Consumables</v>
      </c>
      <c r="R274" s="25">
        <f>Invoices[[#This Row],[Quantity]]*Invoices[[#This Row],[Unit Cost]]</f>
        <v>69.599999999999994</v>
      </c>
      <c r="S274" s="25">
        <f>Invoices[[#This Row],[Quantity]]*Invoices[[#This Row],[New Unit Price]]</f>
        <v>350</v>
      </c>
      <c r="T274" s="25">
        <f>Invoices[[#This Row],[Revenue]]-Invoices[[#This Row],[Cost]]</f>
        <v>280.39999999999998</v>
      </c>
      <c r="U274" s="25" t="str">
        <f>TEXT(Invoices[[#This Row],[Date]],"MMM")</f>
        <v>Aug</v>
      </c>
      <c r="V274" s="29">
        <f>CHOOSE(MONTH(Invoices[[#This Row],[Date]]),1,1,1,2,2,2,3,3,3,4,4,4)</f>
        <v>3</v>
      </c>
      <c r="W274" s="30">
        <f>IFERROR(Invoices[[#This Row],[Profit]]/Invoices[[#This Row],[Revenue]],0)</f>
        <v>0.80114285714285705</v>
      </c>
    </row>
    <row r="275" spans="1:23" x14ac:dyDescent="0.3">
      <c r="A275" s="19" t="s">
        <v>5</v>
      </c>
      <c r="B275" s="9">
        <v>22887</v>
      </c>
      <c r="C275" s="15">
        <v>41487</v>
      </c>
      <c r="D275" s="9">
        <v>112</v>
      </c>
      <c r="E275" s="10" t="s">
        <v>80</v>
      </c>
      <c r="F275" s="8">
        <v>2</v>
      </c>
      <c r="G275" s="10"/>
      <c r="H275" s="4" t="s">
        <v>125</v>
      </c>
      <c r="I275" s="4" t="s">
        <v>40</v>
      </c>
      <c r="J275" s="4">
        <v>5</v>
      </c>
      <c r="K275" s="23">
        <v>30</v>
      </c>
      <c r="L275">
        <f>IF(Invoices[[#This Row],[Document Type]]="Return",Invoices[[#This Row],[Unit Price]]*-1,Invoices[[#This Row],[Unit Price]])</f>
        <v>30</v>
      </c>
      <c r="M275" t="str">
        <f>IF(Invoices[[#This Row],[New Unit Price]]&lt;0,"Return",
IF(Invoices[[#This Row],[New Unit Price]]=0,"Free",IF(Invoices[[#This Row],[New Unit Price]]&lt;100,"Basic","Premium")))</f>
        <v>Basic</v>
      </c>
      <c r="N275">
        <f>VLOOKUP(Invoices[[#This Row],[Part  '#]],Products[],4,0)</f>
        <v>6.9</v>
      </c>
      <c r="O275" t="str">
        <f>VLOOKUP(Invoices[[#This Row],[Customer Account]],Customers[],4,0)</f>
        <v>Financial</v>
      </c>
      <c r="P275" t="str">
        <f>VLOOKUP(Invoices[[#This Row],[Customer Account]],Customers[],3,0)</f>
        <v>Georgia</v>
      </c>
      <c r="Q275" t="str">
        <f>VLOOKUP(Invoices[[#This Row],[Part  '#]],Products[],3,0)</f>
        <v>Consumables</v>
      </c>
      <c r="R275" s="25">
        <f>Invoices[[#This Row],[Quantity]]*Invoices[[#This Row],[Unit Cost]]</f>
        <v>34.5</v>
      </c>
      <c r="S275" s="25">
        <f>Invoices[[#This Row],[Quantity]]*Invoices[[#This Row],[New Unit Price]]</f>
        <v>150</v>
      </c>
      <c r="T275" s="25">
        <f>Invoices[[#This Row],[Revenue]]-Invoices[[#This Row],[Cost]]</f>
        <v>115.5</v>
      </c>
      <c r="U275" s="25" t="str">
        <f>TEXT(Invoices[[#This Row],[Date]],"MMM")</f>
        <v>Aug</v>
      </c>
      <c r="V275" s="29">
        <f>CHOOSE(MONTH(Invoices[[#This Row],[Date]]),1,1,1,2,2,2,3,3,3,4,4,4)</f>
        <v>3</v>
      </c>
      <c r="W275" s="30">
        <f>IFERROR(Invoices[[#This Row],[Profit]]/Invoices[[#This Row],[Revenue]],0)</f>
        <v>0.77</v>
      </c>
    </row>
    <row r="276" spans="1:23" x14ac:dyDescent="0.3">
      <c r="A276" s="19" t="s">
        <v>5</v>
      </c>
      <c r="B276" s="9">
        <v>22888</v>
      </c>
      <c r="C276" s="15">
        <v>41487</v>
      </c>
      <c r="D276" s="9">
        <v>113</v>
      </c>
      <c r="E276" s="10" t="s">
        <v>81</v>
      </c>
      <c r="F276" s="8">
        <v>1</v>
      </c>
      <c r="G276" s="10"/>
      <c r="H276" s="4" t="s">
        <v>125</v>
      </c>
      <c r="I276" s="4" t="s">
        <v>40</v>
      </c>
      <c r="J276" s="4">
        <v>250</v>
      </c>
      <c r="K276" s="23">
        <v>24</v>
      </c>
      <c r="L276">
        <f>IF(Invoices[[#This Row],[Document Type]]="Return",Invoices[[#This Row],[Unit Price]]*-1,Invoices[[#This Row],[Unit Price]])</f>
        <v>24</v>
      </c>
      <c r="M276" t="str">
        <f>IF(Invoices[[#This Row],[New Unit Price]]&lt;0,"Return",
IF(Invoices[[#This Row],[New Unit Price]]=0,"Free",IF(Invoices[[#This Row],[New Unit Price]]&lt;100,"Basic","Premium")))</f>
        <v>Basic</v>
      </c>
      <c r="N276">
        <f>VLOOKUP(Invoices[[#This Row],[Part  '#]],Products[],4,0)</f>
        <v>6.9</v>
      </c>
      <c r="O276" t="str">
        <f>VLOOKUP(Invoices[[#This Row],[Customer Account]],Customers[],4,0)</f>
        <v>Financial</v>
      </c>
      <c r="P276" t="str">
        <f>VLOOKUP(Invoices[[#This Row],[Customer Account]],Customers[],3,0)</f>
        <v>Georgia</v>
      </c>
      <c r="Q276" t="str">
        <f>VLOOKUP(Invoices[[#This Row],[Part  '#]],Products[],3,0)</f>
        <v>Consumables</v>
      </c>
      <c r="R276" s="25">
        <f>Invoices[[#This Row],[Quantity]]*Invoices[[#This Row],[Unit Cost]]</f>
        <v>1725</v>
      </c>
      <c r="S276" s="25">
        <f>Invoices[[#This Row],[Quantity]]*Invoices[[#This Row],[New Unit Price]]</f>
        <v>6000</v>
      </c>
      <c r="T276" s="25">
        <f>Invoices[[#This Row],[Revenue]]-Invoices[[#This Row],[Cost]]</f>
        <v>4275</v>
      </c>
      <c r="U276" s="25" t="str">
        <f>TEXT(Invoices[[#This Row],[Date]],"MMM")</f>
        <v>Aug</v>
      </c>
      <c r="V276" s="29">
        <f>CHOOSE(MONTH(Invoices[[#This Row],[Date]]),1,1,1,2,2,2,3,3,3,4,4,4)</f>
        <v>3</v>
      </c>
      <c r="W276" s="30">
        <f>IFERROR(Invoices[[#This Row],[Profit]]/Invoices[[#This Row],[Revenue]],0)</f>
        <v>0.71250000000000002</v>
      </c>
    </row>
    <row r="277" spans="1:23" x14ac:dyDescent="0.3">
      <c r="A277" s="19" t="s">
        <v>5</v>
      </c>
      <c r="B277" s="9">
        <v>22888</v>
      </c>
      <c r="C277" s="15">
        <v>41487</v>
      </c>
      <c r="D277" s="9">
        <v>113</v>
      </c>
      <c r="E277" s="10" t="s">
        <v>81</v>
      </c>
      <c r="F277" s="8">
        <v>2</v>
      </c>
      <c r="G277" s="10"/>
      <c r="H277" s="4" t="s">
        <v>132</v>
      </c>
      <c r="I277" s="4" t="s">
        <v>49</v>
      </c>
      <c r="J277" s="4">
        <v>50</v>
      </c>
      <c r="K277" s="23">
        <v>70</v>
      </c>
      <c r="L277">
        <f>IF(Invoices[[#This Row],[Document Type]]="Return",Invoices[[#This Row],[Unit Price]]*-1,Invoices[[#This Row],[Unit Price]])</f>
        <v>70</v>
      </c>
      <c r="M277" t="str">
        <f>IF(Invoices[[#This Row],[New Unit Price]]&lt;0,"Return",
IF(Invoices[[#This Row],[New Unit Price]]=0,"Free",IF(Invoices[[#This Row],[New Unit Price]]&lt;100,"Basic","Premium")))</f>
        <v>Basic</v>
      </c>
      <c r="N277">
        <f>VLOOKUP(Invoices[[#This Row],[Part  '#]],Products[],4,0)</f>
        <v>13.92</v>
      </c>
      <c r="O277" t="str">
        <f>VLOOKUP(Invoices[[#This Row],[Customer Account]],Customers[],4,0)</f>
        <v>Financial</v>
      </c>
      <c r="P277" t="str">
        <f>VLOOKUP(Invoices[[#This Row],[Customer Account]],Customers[],3,0)</f>
        <v>Georgia</v>
      </c>
      <c r="Q277" t="str">
        <f>VLOOKUP(Invoices[[#This Row],[Part  '#]],Products[],3,0)</f>
        <v>Consumables</v>
      </c>
      <c r="R277" s="25">
        <f>Invoices[[#This Row],[Quantity]]*Invoices[[#This Row],[Unit Cost]]</f>
        <v>696</v>
      </c>
      <c r="S277" s="25">
        <f>Invoices[[#This Row],[Quantity]]*Invoices[[#This Row],[New Unit Price]]</f>
        <v>3500</v>
      </c>
      <c r="T277" s="25">
        <f>Invoices[[#This Row],[Revenue]]-Invoices[[#This Row],[Cost]]</f>
        <v>2804</v>
      </c>
      <c r="U277" s="25" t="str">
        <f>TEXT(Invoices[[#This Row],[Date]],"MMM")</f>
        <v>Aug</v>
      </c>
      <c r="V277" s="29">
        <f>CHOOSE(MONTH(Invoices[[#This Row],[Date]]),1,1,1,2,2,2,3,3,3,4,4,4)</f>
        <v>3</v>
      </c>
      <c r="W277" s="30">
        <f>IFERROR(Invoices[[#This Row],[Profit]]/Invoices[[#This Row],[Revenue]],0)</f>
        <v>0.80114285714285716</v>
      </c>
    </row>
    <row r="278" spans="1:23" x14ac:dyDescent="0.3">
      <c r="A278" s="19" t="s">
        <v>5</v>
      </c>
      <c r="B278" s="9">
        <v>22889</v>
      </c>
      <c r="C278" s="15">
        <v>41487</v>
      </c>
      <c r="D278" s="9">
        <v>114</v>
      </c>
      <c r="E278" s="10" t="s">
        <v>82</v>
      </c>
      <c r="F278" s="8">
        <v>1</v>
      </c>
      <c r="G278" s="10"/>
      <c r="H278" s="4" t="s">
        <v>135</v>
      </c>
      <c r="I278" s="4" t="s">
        <v>52</v>
      </c>
      <c r="J278" s="4">
        <v>8</v>
      </c>
      <c r="K278" s="23">
        <v>100</v>
      </c>
      <c r="L278">
        <f>IF(Invoices[[#This Row],[Document Type]]="Return",Invoices[[#This Row],[Unit Price]]*-1,Invoices[[#This Row],[Unit Price]])</f>
        <v>100</v>
      </c>
      <c r="M278" t="str">
        <f>IF(Invoices[[#This Row],[New Unit Price]]&lt;0,"Return",
IF(Invoices[[#This Row],[New Unit Price]]=0,"Free",IF(Invoices[[#This Row],[New Unit Price]]&lt;100,"Basic","Premium")))</f>
        <v>Premium</v>
      </c>
      <c r="N278">
        <f>VLOOKUP(Invoices[[#This Row],[Part  '#]],Products[],4,0)</f>
        <v>27.17</v>
      </c>
      <c r="O278" t="str">
        <f>VLOOKUP(Invoices[[#This Row],[Customer Account]],Customers[],4,0)</f>
        <v>Automotive</v>
      </c>
      <c r="P278" t="str">
        <f>VLOOKUP(Invoices[[#This Row],[Customer Account]],Customers[],3,0)</f>
        <v>North Carolina</v>
      </c>
      <c r="Q278" t="str">
        <f>VLOOKUP(Invoices[[#This Row],[Part  '#]],Products[],3,0)</f>
        <v>Consumables</v>
      </c>
      <c r="R278" s="25">
        <f>Invoices[[#This Row],[Quantity]]*Invoices[[#This Row],[Unit Cost]]</f>
        <v>217.36</v>
      </c>
      <c r="S278" s="25">
        <f>Invoices[[#This Row],[Quantity]]*Invoices[[#This Row],[New Unit Price]]</f>
        <v>800</v>
      </c>
      <c r="T278" s="25">
        <f>Invoices[[#This Row],[Revenue]]-Invoices[[#This Row],[Cost]]</f>
        <v>582.64</v>
      </c>
      <c r="U278" s="25" t="str">
        <f>TEXT(Invoices[[#This Row],[Date]],"MMM")</f>
        <v>Aug</v>
      </c>
      <c r="V278" s="29">
        <f>CHOOSE(MONTH(Invoices[[#This Row],[Date]]),1,1,1,2,2,2,3,3,3,4,4,4)</f>
        <v>3</v>
      </c>
      <c r="W278" s="30">
        <f>IFERROR(Invoices[[#This Row],[Profit]]/Invoices[[#This Row],[Revenue]],0)</f>
        <v>0.72829999999999995</v>
      </c>
    </row>
    <row r="279" spans="1:23" x14ac:dyDescent="0.3">
      <c r="A279" s="19" t="s">
        <v>5</v>
      </c>
      <c r="B279" s="9">
        <v>22889</v>
      </c>
      <c r="C279" s="15">
        <v>41487</v>
      </c>
      <c r="D279" s="9">
        <v>114</v>
      </c>
      <c r="E279" s="10" t="s">
        <v>82</v>
      </c>
      <c r="F279" s="8">
        <v>2</v>
      </c>
      <c r="G279" s="10"/>
      <c r="H279" s="4" t="s">
        <v>136</v>
      </c>
      <c r="I279" s="4" t="s">
        <v>53</v>
      </c>
      <c r="J279" s="4">
        <v>6</v>
      </c>
      <c r="K279" s="23">
        <v>140</v>
      </c>
      <c r="L279">
        <f>IF(Invoices[[#This Row],[Document Type]]="Return",Invoices[[#This Row],[Unit Price]]*-1,Invoices[[#This Row],[Unit Price]])</f>
        <v>140</v>
      </c>
      <c r="M279" t="str">
        <f>IF(Invoices[[#This Row],[New Unit Price]]&lt;0,"Return",
IF(Invoices[[#This Row],[New Unit Price]]=0,"Free",IF(Invoices[[#This Row],[New Unit Price]]&lt;100,"Basic","Premium")))</f>
        <v>Premium</v>
      </c>
      <c r="N279">
        <f>VLOOKUP(Invoices[[#This Row],[Part  '#]],Products[],4,0)</f>
        <v>34.299999999999997</v>
      </c>
      <c r="O279" t="str">
        <f>VLOOKUP(Invoices[[#This Row],[Customer Account]],Customers[],4,0)</f>
        <v>Automotive</v>
      </c>
      <c r="P279" t="str">
        <f>VLOOKUP(Invoices[[#This Row],[Customer Account]],Customers[],3,0)</f>
        <v>North Carolina</v>
      </c>
      <c r="Q279" t="str">
        <f>VLOOKUP(Invoices[[#This Row],[Part  '#]],Products[],3,0)</f>
        <v>Consumables</v>
      </c>
      <c r="R279" s="25">
        <f>Invoices[[#This Row],[Quantity]]*Invoices[[#This Row],[Unit Cost]]</f>
        <v>205.79999999999998</v>
      </c>
      <c r="S279" s="25">
        <f>Invoices[[#This Row],[Quantity]]*Invoices[[#This Row],[New Unit Price]]</f>
        <v>840</v>
      </c>
      <c r="T279" s="25">
        <f>Invoices[[#This Row],[Revenue]]-Invoices[[#This Row],[Cost]]</f>
        <v>634.20000000000005</v>
      </c>
      <c r="U279" s="25" t="str">
        <f>TEXT(Invoices[[#This Row],[Date]],"MMM")</f>
        <v>Aug</v>
      </c>
      <c r="V279" s="29">
        <f>CHOOSE(MONTH(Invoices[[#This Row],[Date]]),1,1,1,2,2,2,3,3,3,4,4,4)</f>
        <v>3</v>
      </c>
      <c r="W279" s="30">
        <f>IFERROR(Invoices[[#This Row],[Profit]]/Invoices[[#This Row],[Revenue]],0)</f>
        <v>0.755</v>
      </c>
    </row>
    <row r="280" spans="1:23" x14ac:dyDescent="0.3">
      <c r="A280" s="19" t="s">
        <v>5</v>
      </c>
      <c r="B280" s="9">
        <v>22889</v>
      </c>
      <c r="C280" s="15">
        <v>41487</v>
      </c>
      <c r="D280" s="9">
        <v>114</v>
      </c>
      <c r="E280" s="10" t="s">
        <v>82</v>
      </c>
      <c r="F280" s="8">
        <v>3</v>
      </c>
      <c r="G280" s="10"/>
      <c r="H280" s="4" t="s">
        <v>128</v>
      </c>
      <c r="I280" s="4" t="s">
        <v>45</v>
      </c>
      <c r="J280" s="4">
        <v>15</v>
      </c>
      <c r="K280" s="23">
        <v>25</v>
      </c>
      <c r="L280">
        <f>IF(Invoices[[#This Row],[Document Type]]="Return",Invoices[[#This Row],[Unit Price]]*-1,Invoices[[#This Row],[Unit Price]])</f>
        <v>25</v>
      </c>
      <c r="M280" t="str">
        <f>IF(Invoices[[#This Row],[New Unit Price]]&lt;0,"Return",
IF(Invoices[[#This Row],[New Unit Price]]=0,"Free",IF(Invoices[[#This Row],[New Unit Price]]&lt;100,"Basic","Premium")))</f>
        <v>Basic</v>
      </c>
      <c r="N280">
        <f>VLOOKUP(Invoices[[#This Row],[Part  '#]],Products[],4,0)</f>
        <v>5.16</v>
      </c>
      <c r="O280" t="str">
        <f>VLOOKUP(Invoices[[#This Row],[Customer Account]],Customers[],4,0)</f>
        <v>Automotive</v>
      </c>
      <c r="P280" t="str">
        <f>VLOOKUP(Invoices[[#This Row],[Customer Account]],Customers[],3,0)</f>
        <v>North Carolina</v>
      </c>
      <c r="Q280" t="str">
        <f>VLOOKUP(Invoices[[#This Row],[Part  '#]],Products[],3,0)</f>
        <v>Consumables</v>
      </c>
      <c r="R280" s="25">
        <f>Invoices[[#This Row],[Quantity]]*Invoices[[#This Row],[Unit Cost]]</f>
        <v>77.400000000000006</v>
      </c>
      <c r="S280" s="25">
        <f>Invoices[[#This Row],[Quantity]]*Invoices[[#This Row],[New Unit Price]]</f>
        <v>375</v>
      </c>
      <c r="T280" s="25">
        <f>Invoices[[#This Row],[Revenue]]-Invoices[[#This Row],[Cost]]</f>
        <v>297.60000000000002</v>
      </c>
      <c r="U280" s="25" t="str">
        <f>TEXT(Invoices[[#This Row],[Date]],"MMM")</f>
        <v>Aug</v>
      </c>
      <c r="V280" s="29">
        <f>CHOOSE(MONTH(Invoices[[#This Row],[Date]]),1,1,1,2,2,2,3,3,3,4,4,4)</f>
        <v>3</v>
      </c>
      <c r="W280" s="30">
        <f>IFERROR(Invoices[[#This Row],[Profit]]/Invoices[[#This Row],[Revenue]],0)</f>
        <v>0.79360000000000008</v>
      </c>
    </row>
    <row r="281" spans="1:23" x14ac:dyDescent="0.3">
      <c r="A281" s="19" t="s">
        <v>5</v>
      </c>
      <c r="B281" s="9">
        <v>22889</v>
      </c>
      <c r="C281" s="15">
        <v>41487</v>
      </c>
      <c r="D281" s="9">
        <v>114</v>
      </c>
      <c r="E281" s="10" t="s">
        <v>82</v>
      </c>
      <c r="F281" s="8">
        <v>4</v>
      </c>
      <c r="G281" s="10"/>
      <c r="H281" s="4" t="s">
        <v>130</v>
      </c>
      <c r="I281" s="4" t="s">
        <v>47</v>
      </c>
      <c r="J281" s="4">
        <v>22</v>
      </c>
      <c r="K281" s="23">
        <v>24</v>
      </c>
      <c r="L281">
        <f>IF(Invoices[[#This Row],[Document Type]]="Return",Invoices[[#This Row],[Unit Price]]*-1,Invoices[[#This Row],[Unit Price]])</f>
        <v>24</v>
      </c>
      <c r="M281" t="str">
        <f>IF(Invoices[[#This Row],[New Unit Price]]&lt;0,"Return",
IF(Invoices[[#This Row],[New Unit Price]]=0,"Free",IF(Invoices[[#This Row],[New Unit Price]]&lt;100,"Basic","Premium")))</f>
        <v>Basic</v>
      </c>
      <c r="N281">
        <f>VLOOKUP(Invoices[[#This Row],[Part  '#]],Products[],4,0)</f>
        <v>7.09</v>
      </c>
      <c r="O281" t="str">
        <f>VLOOKUP(Invoices[[#This Row],[Customer Account]],Customers[],4,0)</f>
        <v>Automotive</v>
      </c>
      <c r="P281" t="str">
        <f>VLOOKUP(Invoices[[#This Row],[Customer Account]],Customers[],3,0)</f>
        <v>North Carolina</v>
      </c>
      <c r="Q281" t="str">
        <f>VLOOKUP(Invoices[[#This Row],[Part  '#]],Products[],3,0)</f>
        <v>Consumables</v>
      </c>
      <c r="R281" s="25">
        <f>Invoices[[#This Row],[Quantity]]*Invoices[[#This Row],[Unit Cost]]</f>
        <v>155.97999999999999</v>
      </c>
      <c r="S281" s="25">
        <f>Invoices[[#This Row],[Quantity]]*Invoices[[#This Row],[New Unit Price]]</f>
        <v>528</v>
      </c>
      <c r="T281" s="25">
        <f>Invoices[[#This Row],[Revenue]]-Invoices[[#This Row],[Cost]]</f>
        <v>372.02</v>
      </c>
      <c r="U281" s="25" t="str">
        <f>TEXT(Invoices[[#This Row],[Date]],"MMM")</f>
        <v>Aug</v>
      </c>
      <c r="V281" s="29">
        <f>CHOOSE(MONTH(Invoices[[#This Row],[Date]]),1,1,1,2,2,2,3,3,3,4,4,4)</f>
        <v>3</v>
      </c>
      <c r="W281" s="30">
        <f>IFERROR(Invoices[[#This Row],[Profit]]/Invoices[[#This Row],[Revenue]],0)</f>
        <v>0.70458333333333334</v>
      </c>
    </row>
    <row r="282" spans="1:23" x14ac:dyDescent="0.3">
      <c r="A282" s="19" t="s">
        <v>5</v>
      </c>
      <c r="B282" s="9">
        <v>22890</v>
      </c>
      <c r="C282" s="15">
        <v>41487</v>
      </c>
      <c r="D282" s="9">
        <v>115</v>
      </c>
      <c r="E282" s="10" t="s">
        <v>83</v>
      </c>
      <c r="F282" s="8">
        <v>1</v>
      </c>
      <c r="G282" s="10"/>
      <c r="H282" s="4" t="s">
        <v>124</v>
      </c>
      <c r="I282" s="4" t="s">
        <v>39</v>
      </c>
      <c r="J282" s="4">
        <v>20</v>
      </c>
      <c r="K282" s="23">
        <v>35</v>
      </c>
      <c r="L282">
        <f>IF(Invoices[[#This Row],[Document Type]]="Return",Invoices[[#This Row],[Unit Price]]*-1,Invoices[[#This Row],[Unit Price]])</f>
        <v>35</v>
      </c>
      <c r="M282" t="str">
        <f>IF(Invoices[[#This Row],[New Unit Price]]&lt;0,"Return",
IF(Invoices[[#This Row],[New Unit Price]]=0,"Free",IF(Invoices[[#This Row],[New Unit Price]]&lt;100,"Basic","Premium")))</f>
        <v>Basic</v>
      </c>
      <c r="N282">
        <f>VLOOKUP(Invoices[[#This Row],[Part  '#]],Products[],4,0)</f>
        <v>6.37</v>
      </c>
      <c r="O282" t="str">
        <f>VLOOKUP(Invoices[[#This Row],[Customer Account]],Customers[],4,0)</f>
        <v>Automotive</v>
      </c>
      <c r="P282" t="str">
        <f>VLOOKUP(Invoices[[#This Row],[Customer Account]],Customers[],3,0)</f>
        <v>Tennessee</v>
      </c>
      <c r="Q282" t="str">
        <f>VLOOKUP(Invoices[[#This Row],[Part  '#]],Products[],3,0)</f>
        <v>Consumables</v>
      </c>
      <c r="R282" s="25">
        <f>Invoices[[#This Row],[Quantity]]*Invoices[[#This Row],[Unit Cost]]</f>
        <v>127.4</v>
      </c>
      <c r="S282" s="25">
        <f>Invoices[[#This Row],[Quantity]]*Invoices[[#This Row],[New Unit Price]]</f>
        <v>700</v>
      </c>
      <c r="T282" s="25">
        <f>Invoices[[#This Row],[Revenue]]-Invoices[[#This Row],[Cost]]</f>
        <v>572.6</v>
      </c>
      <c r="U282" s="25" t="str">
        <f>TEXT(Invoices[[#This Row],[Date]],"MMM")</f>
        <v>Aug</v>
      </c>
      <c r="V282" s="29">
        <f>CHOOSE(MONTH(Invoices[[#This Row],[Date]]),1,1,1,2,2,2,3,3,3,4,4,4)</f>
        <v>3</v>
      </c>
      <c r="W282" s="30">
        <f>IFERROR(Invoices[[#This Row],[Profit]]/Invoices[[#This Row],[Revenue]],0)</f>
        <v>0.81800000000000006</v>
      </c>
    </row>
    <row r="283" spans="1:23" x14ac:dyDescent="0.3">
      <c r="A283" s="19" t="s">
        <v>5</v>
      </c>
      <c r="B283" s="9">
        <v>22890</v>
      </c>
      <c r="C283" s="15">
        <v>41487</v>
      </c>
      <c r="D283" s="9">
        <v>115</v>
      </c>
      <c r="E283" s="10" t="s">
        <v>83</v>
      </c>
      <c r="F283" s="8">
        <v>2</v>
      </c>
      <c r="G283" s="10"/>
      <c r="H283" s="4" t="s">
        <v>132</v>
      </c>
      <c r="I283" s="4" t="s">
        <v>49</v>
      </c>
      <c r="J283" s="4">
        <v>5</v>
      </c>
      <c r="K283" s="23">
        <v>70</v>
      </c>
      <c r="L283">
        <f>IF(Invoices[[#This Row],[Document Type]]="Return",Invoices[[#This Row],[Unit Price]]*-1,Invoices[[#This Row],[Unit Price]])</f>
        <v>70</v>
      </c>
      <c r="M283" t="str">
        <f>IF(Invoices[[#This Row],[New Unit Price]]&lt;0,"Return",
IF(Invoices[[#This Row],[New Unit Price]]=0,"Free",IF(Invoices[[#This Row],[New Unit Price]]&lt;100,"Basic","Premium")))</f>
        <v>Basic</v>
      </c>
      <c r="N283">
        <f>VLOOKUP(Invoices[[#This Row],[Part  '#]],Products[],4,0)</f>
        <v>13.92</v>
      </c>
      <c r="O283" t="str">
        <f>VLOOKUP(Invoices[[#This Row],[Customer Account]],Customers[],4,0)</f>
        <v>Automotive</v>
      </c>
      <c r="P283" t="str">
        <f>VLOOKUP(Invoices[[#This Row],[Customer Account]],Customers[],3,0)</f>
        <v>Tennessee</v>
      </c>
      <c r="Q283" t="str">
        <f>VLOOKUP(Invoices[[#This Row],[Part  '#]],Products[],3,0)</f>
        <v>Consumables</v>
      </c>
      <c r="R283" s="25">
        <f>Invoices[[#This Row],[Quantity]]*Invoices[[#This Row],[Unit Cost]]</f>
        <v>69.599999999999994</v>
      </c>
      <c r="S283" s="25">
        <f>Invoices[[#This Row],[Quantity]]*Invoices[[#This Row],[New Unit Price]]</f>
        <v>350</v>
      </c>
      <c r="T283" s="25">
        <f>Invoices[[#This Row],[Revenue]]-Invoices[[#This Row],[Cost]]</f>
        <v>280.39999999999998</v>
      </c>
      <c r="U283" s="25" t="str">
        <f>TEXT(Invoices[[#This Row],[Date]],"MMM")</f>
        <v>Aug</v>
      </c>
      <c r="V283" s="29">
        <f>CHOOSE(MONTH(Invoices[[#This Row],[Date]]),1,1,1,2,2,2,3,3,3,4,4,4)</f>
        <v>3</v>
      </c>
      <c r="W283" s="30">
        <f>IFERROR(Invoices[[#This Row],[Profit]]/Invoices[[#This Row],[Revenue]],0)</f>
        <v>0.80114285714285705</v>
      </c>
    </row>
    <row r="284" spans="1:23" x14ac:dyDescent="0.3">
      <c r="A284" s="19" t="s">
        <v>5</v>
      </c>
      <c r="B284" s="9">
        <v>22890</v>
      </c>
      <c r="C284" s="15">
        <v>41487</v>
      </c>
      <c r="D284" s="9">
        <v>115</v>
      </c>
      <c r="E284" s="10" t="s">
        <v>83</v>
      </c>
      <c r="F284" s="8">
        <v>3</v>
      </c>
      <c r="G284" s="10"/>
      <c r="H284" s="4" t="s">
        <v>120</v>
      </c>
      <c r="I284" s="4" t="s">
        <v>54</v>
      </c>
      <c r="J284" s="4">
        <v>1</v>
      </c>
      <c r="K284" s="23">
        <v>250</v>
      </c>
      <c r="L284">
        <f>IF(Invoices[[#This Row],[Document Type]]="Return",Invoices[[#This Row],[Unit Price]]*-1,Invoices[[#This Row],[Unit Price]])</f>
        <v>250</v>
      </c>
      <c r="M284" t="str">
        <f>IF(Invoices[[#This Row],[New Unit Price]]&lt;0,"Return",
IF(Invoices[[#This Row],[New Unit Price]]=0,"Free",IF(Invoices[[#This Row],[New Unit Price]]&lt;100,"Basic","Premium")))</f>
        <v>Premium</v>
      </c>
      <c r="N284">
        <f>VLOOKUP(Invoices[[#This Row],[Part  '#]],Products[],4,0)</f>
        <v>89.7</v>
      </c>
      <c r="O284" t="str">
        <f>VLOOKUP(Invoices[[#This Row],[Customer Account]],Customers[],4,0)</f>
        <v>Automotive</v>
      </c>
      <c r="P284" t="str">
        <f>VLOOKUP(Invoices[[#This Row],[Customer Account]],Customers[],3,0)</f>
        <v>Tennessee</v>
      </c>
      <c r="Q284" t="str">
        <f>VLOOKUP(Invoices[[#This Row],[Part  '#]],Products[],3,0)</f>
        <v>Accessories</v>
      </c>
      <c r="R284" s="25">
        <f>Invoices[[#This Row],[Quantity]]*Invoices[[#This Row],[Unit Cost]]</f>
        <v>89.7</v>
      </c>
      <c r="S284" s="25">
        <f>Invoices[[#This Row],[Quantity]]*Invoices[[#This Row],[New Unit Price]]</f>
        <v>250</v>
      </c>
      <c r="T284" s="25">
        <f>Invoices[[#This Row],[Revenue]]-Invoices[[#This Row],[Cost]]</f>
        <v>160.30000000000001</v>
      </c>
      <c r="U284" s="25" t="str">
        <f>TEXT(Invoices[[#This Row],[Date]],"MMM")</f>
        <v>Aug</v>
      </c>
      <c r="V284" s="29">
        <f>CHOOSE(MONTH(Invoices[[#This Row],[Date]]),1,1,1,2,2,2,3,3,3,4,4,4)</f>
        <v>3</v>
      </c>
      <c r="W284" s="30">
        <f>IFERROR(Invoices[[#This Row],[Profit]]/Invoices[[#This Row],[Revenue]],0)</f>
        <v>0.64119999999999999</v>
      </c>
    </row>
    <row r="285" spans="1:23" x14ac:dyDescent="0.3">
      <c r="A285" s="19" t="s">
        <v>5</v>
      </c>
      <c r="B285" s="9">
        <v>22891</v>
      </c>
      <c r="C285" s="15">
        <v>41487</v>
      </c>
      <c r="D285" s="9">
        <v>116</v>
      </c>
      <c r="E285" s="10" t="s">
        <v>84</v>
      </c>
      <c r="F285" s="8">
        <v>1</v>
      </c>
      <c r="G285" s="10"/>
      <c r="H285" s="4" t="s">
        <v>125</v>
      </c>
      <c r="I285" s="4" t="s">
        <v>40</v>
      </c>
      <c r="J285" s="4">
        <v>50</v>
      </c>
      <c r="K285" s="23">
        <v>30</v>
      </c>
      <c r="L285">
        <f>IF(Invoices[[#This Row],[Document Type]]="Return",Invoices[[#This Row],[Unit Price]]*-1,Invoices[[#This Row],[Unit Price]])</f>
        <v>30</v>
      </c>
      <c r="M285" t="str">
        <f>IF(Invoices[[#This Row],[New Unit Price]]&lt;0,"Return",
IF(Invoices[[#This Row],[New Unit Price]]=0,"Free",IF(Invoices[[#This Row],[New Unit Price]]&lt;100,"Basic","Premium")))</f>
        <v>Basic</v>
      </c>
      <c r="N285">
        <f>VLOOKUP(Invoices[[#This Row],[Part  '#]],Products[],4,0)</f>
        <v>6.9</v>
      </c>
      <c r="O285" t="str">
        <f>VLOOKUP(Invoices[[#This Row],[Customer Account]],Customers[],4,0)</f>
        <v>Automotive</v>
      </c>
      <c r="P285" t="str">
        <f>VLOOKUP(Invoices[[#This Row],[Customer Account]],Customers[],3,0)</f>
        <v>Tennessee</v>
      </c>
      <c r="Q285" t="str">
        <f>VLOOKUP(Invoices[[#This Row],[Part  '#]],Products[],3,0)</f>
        <v>Consumables</v>
      </c>
      <c r="R285" s="25">
        <f>Invoices[[#This Row],[Quantity]]*Invoices[[#This Row],[Unit Cost]]</f>
        <v>345</v>
      </c>
      <c r="S285" s="25">
        <f>Invoices[[#This Row],[Quantity]]*Invoices[[#This Row],[New Unit Price]]</f>
        <v>1500</v>
      </c>
      <c r="T285" s="25">
        <f>Invoices[[#This Row],[Revenue]]-Invoices[[#This Row],[Cost]]</f>
        <v>1155</v>
      </c>
      <c r="U285" s="25" t="str">
        <f>TEXT(Invoices[[#This Row],[Date]],"MMM")</f>
        <v>Aug</v>
      </c>
      <c r="V285" s="29">
        <f>CHOOSE(MONTH(Invoices[[#This Row],[Date]]),1,1,1,2,2,2,3,3,3,4,4,4)</f>
        <v>3</v>
      </c>
      <c r="W285" s="30">
        <f>IFERROR(Invoices[[#This Row],[Profit]]/Invoices[[#This Row],[Revenue]],0)</f>
        <v>0.77</v>
      </c>
    </row>
    <row r="286" spans="1:23" x14ac:dyDescent="0.3">
      <c r="A286" s="19" t="s">
        <v>5</v>
      </c>
      <c r="B286" s="9">
        <v>22891</v>
      </c>
      <c r="C286" s="15">
        <v>41487</v>
      </c>
      <c r="D286" s="9">
        <v>116</v>
      </c>
      <c r="E286" s="10" t="s">
        <v>84</v>
      </c>
      <c r="F286" s="8">
        <v>2</v>
      </c>
      <c r="G286" s="10"/>
      <c r="H286" s="4" t="s">
        <v>132</v>
      </c>
      <c r="I286" s="4" t="s">
        <v>49</v>
      </c>
      <c r="J286" s="4">
        <v>20</v>
      </c>
      <c r="K286" s="23">
        <v>70</v>
      </c>
      <c r="L286">
        <f>IF(Invoices[[#This Row],[Document Type]]="Return",Invoices[[#This Row],[Unit Price]]*-1,Invoices[[#This Row],[Unit Price]])</f>
        <v>70</v>
      </c>
      <c r="M286" t="str">
        <f>IF(Invoices[[#This Row],[New Unit Price]]&lt;0,"Return",
IF(Invoices[[#This Row],[New Unit Price]]=0,"Free",IF(Invoices[[#This Row],[New Unit Price]]&lt;100,"Basic","Premium")))</f>
        <v>Basic</v>
      </c>
      <c r="N286">
        <f>VLOOKUP(Invoices[[#This Row],[Part  '#]],Products[],4,0)</f>
        <v>13.92</v>
      </c>
      <c r="O286" t="str">
        <f>VLOOKUP(Invoices[[#This Row],[Customer Account]],Customers[],4,0)</f>
        <v>Automotive</v>
      </c>
      <c r="P286" t="str">
        <f>VLOOKUP(Invoices[[#This Row],[Customer Account]],Customers[],3,0)</f>
        <v>Tennessee</v>
      </c>
      <c r="Q286" t="str">
        <f>VLOOKUP(Invoices[[#This Row],[Part  '#]],Products[],3,0)</f>
        <v>Consumables</v>
      </c>
      <c r="R286" s="25">
        <f>Invoices[[#This Row],[Quantity]]*Invoices[[#This Row],[Unit Cost]]</f>
        <v>278.39999999999998</v>
      </c>
      <c r="S286" s="25">
        <f>Invoices[[#This Row],[Quantity]]*Invoices[[#This Row],[New Unit Price]]</f>
        <v>1400</v>
      </c>
      <c r="T286" s="25">
        <f>Invoices[[#This Row],[Revenue]]-Invoices[[#This Row],[Cost]]</f>
        <v>1121.5999999999999</v>
      </c>
      <c r="U286" s="25" t="str">
        <f>TEXT(Invoices[[#This Row],[Date]],"MMM")</f>
        <v>Aug</v>
      </c>
      <c r="V286" s="29">
        <f>CHOOSE(MONTH(Invoices[[#This Row],[Date]]),1,1,1,2,2,2,3,3,3,4,4,4)</f>
        <v>3</v>
      </c>
      <c r="W286" s="30">
        <f>IFERROR(Invoices[[#This Row],[Profit]]/Invoices[[#This Row],[Revenue]],0)</f>
        <v>0.80114285714285705</v>
      </c>
    </row>
    <row r="287" spans="1:23" x14ac:dyDescent="0.3">
      <c r="A287" s="19" t="s">
        <v>5</v>
      </c>
      <c r="B287" s="9">
        <v>22892</v>
      </c>
      <c r="C287" s="15">
        <v>41487</v>
      </c>
      <c r="D287" s="9">
        <v>117</v>
      </c>
      <c r="E287" s="10" t="s">
        <v>85</v>
      </c>
      <c r="F287" s="8">
        <v>1</v>
      </c>
      <c r="G287" s="10"/>
      <c r="H287" s="4" t="s">
        <v>132</v>
      </c>
      <c r="I287" s="4" t="s">
        <v>49</v>
      </c>
      <c r="J287" s="4">
        <v>10</v>
      </c>
      <c r="K287" s="23">
        <v>70</v>
      </c>
      <c r="L287">
        <f>IF(Invoices[[#This Row],[Document Type]]="Return",Invoices[[#This Row],[Unit Price]]*-1,Invoices[[#This Row],[Unit Price]])</f>
        <v>70</v>
      </c>
      <c r="M287" t="str">
        <f>IF(Invoices[[#This Row],[New Unit Price]]&lt;0,"Return",
IF(Invoices[[#This Row],[New Unit Price]]=0,"Free",IF(Invoices[[#This Row],[New Unit Price]]&lt;100,"Basic","Premium")))</f>
        <v>Basic</v>
      </c>
      <c r="N287">
        <f>VLOOKUP(Invoices[[#This Row],[Part  '#]],Products[],4,0)</f>
        <v>13.92</v>
      </c>
      <c r="O287" t="str">
        <f>VLOOKUP(Invoices[[#This Row],[Customer Account]],Customers[],4,0)</f>
        <v>Automotive</v>
      </c>
      <c r="P287" t="str">
        <f>VLOOKUP(Invoices[[#This Row],[Customer Account]],Customers[],3,0)</f>
        <v>Georgia</v>
      </c>
      <c r="Q287" t="str">
        <f>VLOOKUP(Invoices[[#This Row],[Part  '#]],Products[],3,0)</f>
        <v>Consumables</v>
      </c>
      <c r="R287" s="25">
        <f>Invoices[[#This Row],[Quantity]]*Invoices[[#This Row],[Unit Cost]]</f>
        <v>139.19999999999999</v>
      </c>
      <c r="S287" s="25">
        <f>Invoices[[#This Row],[Quantity]]*Invoices[[#This Row],[New Unit Price]]</f>
        <v>700</v>
      </c>
      <c r="T287" s="25">
        <f>Invoices[[#This Row],[Revenue]]-Invoices[[#This Row],[Cost]]</f>
        <v>560.79999999999995</v>
      </c>
      <c r="U287" s="25" t="str">
        <f>TEXT(Invoices[[#This Row],[Date]],"MMM")</f>
        <v>Aug</v>
      </c>
      <c r="V287" s="29">
        <f>CHOOSE(MONTH(Invoices[[#This Row],[Date]]),1,1,1,2,2,2,3,3,3,4,4,4)</f>
        <v>3</v>
      </c>
      <c r="W287" s="30">
        <f>IFERROR(Invoices[[#This Row],[Profit]]/Invoices[[#This Row],[Revenue]],0)</f>
        <v>0.80114285714285705</v>
      </c>
    </row>
    <row r="288" spans="1:23" x14ac:dyDescent="0.3">
      <c r="A288" s="19" t="s">
        <v>5</v>
      </c>
      <c r="B288" s="9">
        <v>22892</v>
      </c>
      <c r="C288" s="15">
        <v>41487</v>
      </c>
      <c r="D288" s="9">
        <v>117</v>
      </c>
      <c r="E288" s="10" t="s">
        <v>85</v>
      </c>
      <c r="F288" s="8">
        <v>2</v>
      </c>
      <c r="G288" s="10"/>
      <c r="H288" s="4" t="s">
        <v>125</v>
      </c>
      <c r="I288" s="4" t="s">
        <v>40</v>
      </c>
      <c r="J288" s="4">
        <v>10</v>
      </c>
      <c r="K288" s="23">
        <v>30</v>
      </c>
      <c r="L288">
        <f>IF(Invoices[[#This Row],[Document Type]]="Return",Invoices[[#This Row],[Unit Price]]*-1,Invoices[[#This Row],[Unit Price]])</f>
        <v>30</v>
      </c>
      <c r="M288" t="str">
        <f>IF(Invoices[[#This Row],[New Unit Price]]&lt;0,"Return",
IF(Invoices[[#This Row],[New Unit Price]]=0,"Free",IF(Invoices[[#This Row],[New Unit Price]]&lt;100,"Basic","Premium")))</f>
        <v>Basic</v>
      </c>
      <c r="N288">
        <f>VLOOKUP(Invoices[[#This Row],[Part  '#]],Products[],4,0)</f>
        <v>6.9</v>
      </c>
      <c r="O288" t="str">
        <f>VLOOKUP(Invoices[[#This Row],[Customer Account]],Customers[],4,0)</f>
        <v>Automotive</v>
      </c>
      <c r="P288" t="str">
        <f>VLOOKUP(Invoices[[#This Row],[Customer Account]],Customers[],3,0)</f>
        <v>Georgia</v>
      </c>
      <c r="Q288" t="str">
        <f>VLOOKUP(Invoices[[#This Row],[Part  '#]],Products[],3,0)</f>
        <v>Consumables</v>
      </c>
      <c r="R288" s="25">
        <f>Invoices[[#This Row],[Quantity]]*Invoices[[#This Row],[Unit Cost]]</f>
        <v>69</v>
      </c>
      <c r="S288" s="25">
        <f>Invoices[[#This Row],[Quantity]]*Invoices[[#This Row],[New Unit Price]]</f>
        <v>300</v>
      </c>
      <c r="T288" s="25">
        <f>Invoices[[#This Row],[Revenue]]-Invoices[[#This Row],[Cost]]</f>
        <v>231</v>
      </c>
      <c r="U288" s="25" t="str">
        <f>TEXT(Invoices[[#This Row],[Date]],"MMM")</f>
        <v>Aug</v>
      </c>
      <c r="V288" s="29">
        <f>CHOOSE(MONTH(Invoices[[#This Row],[Date]]),1,1,1,2,2,2,3,3,3,4,4,4)</f>
        <v>3</v>
      </c>
      <c r="W288" s="30">
        <f>IFERROR(Invoices[[#This Row],[Profit]]/Invoices[[#This Row],[Revenue]],0)</f>
        <v>0.77</v>
      </c>
    </row>
    <row r="289" spans="1:23" x14ac:dyDescent="0.3">
      <c r="A289" s="19" t="s">
        <v>5</v>
      </c>
      <c r="B289" s="9">
        <v>22893</v>
      </c>
      <c r="C289" s="15">
        <v>41487</v>
      </c>
      <c r="D289" s="9">
        <v>119</v>
      </c>
      <c r="E289" s="10" t="s">
        <v>87</v>
      </c>
      <c r="F289" s="8">
        <v>1</v>
      </c>
      <c r="G289" s="10"/>
      <c r="H289" s="4" t="s">
        <v>135</v>
      </c>
      <c r="I289" s="4" t="s">
        <v>52</v>
      </c>
      <c r="J289" s="4">
        <v>5</v>
      </c>
      <c r="K289" s="23">
        <v>100</v>
      </c>
      <c r="L289">
        <f>IF(Invoices[[#This Row],[Document Type]]="Return",Invoices[[#This Row],[Unit Price]]*-1,Invoices[[#This Row],[Unit Price]])</f>
        <v>100</v>
      </c>
      <c r="M289" t="str">
        <f>IF(Invoices[[#This Row],[New Unit Price]]&lt;0,"Return",
IF(Invoices[[#This Row],[New Unit Price]]=0,"Free",IF(Invoices[[#This Row],[New Unit Price]]&lt;100,"Basic","Premium")))</f>
        <v>Premium</v>
      </c>
      <c r="N289">
        <f>VLOOKUP(Invoices[[#This Row],[Part  '#]],Products[],4,0)</f>
        <v>27.17</v>
      </c>
      <c r="O289" t="str">
        <f>VLOOKUP(Invoices[[#This Row],[Customer Account]],Customers[],4,0)</f>
        <v>Financial</v>
      </c>
      <c r="P289" t="str">
        <f>VLOOKUP(Invoices[[#This Row],[Customer Account]],Customers[],3,0)</f>
        <v>Georgia</v>
      </c>
      <c r="Q289" t="str">
        <f>VLOOKUP(Invoices[[#This Row],[Part  '#]],Products[],3,0)</f>
        <v>Consumables</v>
      </c>
      <c r="R289" s="25">
        <f>Invoices[[#This Row],[Quantity]]*Invoices[[#This Row],[Unit Cost]]</f>
        <v>135.85000000000002</v>
      </c>
      <c r="S289" s="25">
        <f>Invoices[[#This Row],[Quantity]]*Invoices[[#This Row],[New Unit Price]]</f>
        <v>500</v>
      </c>
      <c r="T289" s="25">
        <f>Invoices[[#This Row],[Revenue]]-Invoices[[#This Row],[Cost]]</f>
        <v>364.15</v>
      </c>
      <c r="U289" s="25" t="str">
        <f>TEXT(Invoices[[#This Row],[Date]],"MMM")</f>
        <v>Aug</v>
      </c>
      <c r="V289" s="29">
        <f>CHOOSE(MONTH(Invoices[[#This Row],[Date]]),1,1,1,2,2,2,3,3,3,4,4,4)</f>
        <v>3</v>
      </c>
      <c r="W289" s="30">
        <f>IFERROR(Invoices[[#This Row],[Profit]]/Invoices[[#This Row],[Revenue]],0)</f>
        <v>0.72829999999999995</v>
      </c>
    </row>
    <row r="290" spans="1:23" x14ac:dyDescent="0.3">
      <c r="A290" s="19" t="s">
        <v>5</v>
      </c>
      <c r="B290" s="9">
        <v>22893</v>
      </c>
      <c r="C290" s="15">
        <v>41487</v>
      </c>
      <c r="D290" s="9">
        <v>119</v>
      </c>
      <c r="E290" s="10" t="s">
        <v>87</v>
      </c>
      <c r="F290" s="8">
        <v>2</v>
      </c>
      <c r="G290" s="10"/>
      <c r="H290" s="4" t="s">
        <v>136</v>
      </c>
      <c r="I290" s="4" t="s">
        <v>53</v>
      </c>
      <c r="J290" s="4">
        <v>5</v>
      </c>
      <c r="K290" s="23">
        <v>140</v>
      </c>
      <c r="L290">
        <f>IF(Invoices[[#This Row],[Document Type]]="Return",Invoices[[#This Row],[Unit Price]]*-1,Invoices[[#This Row],[Unit Price]])</f>
        <v>140</v>
      </c>
      <c r="M290" t="str">
        <f>IF(Invoices[[#This Row],[New Unit Price]]&lt;0,"Return",
IF(Invoices[[#This Row],[New Unit Price]]=0,"Free",IF(Invoices[[#This Row],[New Unit Price]]&lt;100,"Basic","Premium")))</f>
        <v>Premium</v>
      </c>
      <c r="N290">
        <f>VLOOKUP(Invoices[[#This Row],[Part  '#]],Products[],4,0)</f>
        <v>34.299999999999997</v>
      </c>
      <c r="O290" t="str">
        <f>VLOOKUP(Invoices[[#This Row],[Customer Account]],Customers[],4,0)</f>
        <v>Financial</v>
      </c>
      <c r="P290" t="str">
        <f>VLOOKUP(Invoices[[#This Row],[Customer Account]],Customers[],3,0)</f>
        <v>Georgia</v>
      </c>
      <c r="Q290" t="str">
        <f>VLOOKUP(Invoices[[#This Row],[Part  '#]],Products[],3,0)</f>
        <v>Consumables</v>
      </c>
      <c r="R290" s="25">
        <f>Invoices[[#This Row],[Quantity]]*Invoices[[#This Row],[Unit Cost]]</f>
        <v>171.5</v>
      </c>
      <c r="S290" s="25">
        <f>Invoices[[#This Row],[Quantity]]*Invoices[[#This Row],[New Unit Price]]</f>
        <v>700</v>
      </c>
      <c r="T290" s="25">
        <f>Invoices[[#This Row],[Revenue]]-Invoices[[#This Row],[Cost]]</f>
        <v>528.5</v>
      </c>
      <c r="U290" s="25" t="str">
        <f>TEXT(Invoices[[#This Row],[Date]],"MMM")</f>
        <v>Aug</v>
      </c>
      <c r="V290" s="29">
        <f>CHOOSE(MONTH(Invoices[[#This Row],[Date]]),1,1,1,2,2,2,3,3,3,4,4,4)</f>
        <v>3</v>
      </c>
      <c r="W290" s="30">
        <f>IFERROR(Invoices[[#This Row],[Profit]]/Invoices[[#This Row],[Revenue]],0)</f>
        <v>0.755</v>
      </c>
    </row>
    <row r="291" spans="1:23" x14ac:dyDescent="0.3">
      <c r="A291" s="19" t="s">
        <v>5</v>
      </c>
      <c r="B291" s="9">
        <v>22893</v>
      </c>
      <c r="C291" s="15">
        <v>41487</v>
      </c>
      <c r="D291" s="9">
        <v>119</v>
      </c>
      <c r="E291" s="10" t="s">
        <v>87</v>
      </c>
      <c r="F291" s="8">
        <v>3</v>
      </c>
      <c r="G291" s="10"/>
      <c r="H291" s="4" t="s">
        <v>128</v>
      </c>
      <c r="I291" s="4" t="s">
        <v>45</v>
      </c>
      <c r="J291" s="4">
        <v>50</v>
      </c>
      <c r="K291" s="23">
        <v>25</v>
      </c>
      <c r="L291">
        <f>IF(Invoices[[#This Row],[Document Type]]="Return",Invoices[[#This Row],[Unit Price]]*-1,Invoices[[#This Row],[Unit Price]])</f>
        <v>25</v>
      </c>
      <c r="M291" t="str">
        <f>IF(Invoices[[#This Row],[New Unit Price]]&lt;0,"Return",
IF(Invoices[[#This Row],[New Unit Price]]=0,"Free",IF(Invoices[[#This Row],[New Unit Price]]&lt;100,"Basic","Premium")))</f>
        <v>Basic</v>
      </c>
      <c r="N291">
        <f>VLOOKUP(Invoices[[#This Row],[Part  '#]],Products[],4,0)</f>
        <v>5.16</v>
      </c>
      <c r="O291" t="str">
        <f>VLOOKUP(Invoices[[#This Row],[Customer Account]],Customers[],4,0)</f>
        <v>Financial</v>
      </c>
      <c r="P291" t="str">
        <f>VLOOKUP(Invoices[[#This Row],[Customer Account]],Customers[],3,0)</f>
        <v>Georgia</v>
      </c>
      <c r="Q291" t="str">
        <f>VLOOKUP(Invoices[[#This Row],[Part  '#]],Products[],3,0)</f>
        <v>Consumables</v>
      </c>
      <c r="R291" s="25">
        <f>Invoices[[#This Row],[Quantity]]*Invoices[[#This Row],[Unit Cost]]</f>
        <v>258</v>
      </c>
      <c r="S291" s="25">
        <f>Invoices[[#This Row],[Quantity]]*Invoices[[#This Row],[New Unit Price]]</f>
        <v>1250</v>
      </c>
      <c r="T291" s="25">
        <f>Invoices[[#This Row],[Revenue]]-Invoices[[#This Row],[Cost]]</f>
        <v>992</v>
      </c>
      <c r="U291" s="25" t="str">
        <f>TEXT(Invoices[[#This Row],[Date]],"MMM")</f>
        <v>Aug</v>
      </c>
      <c r="V291" s="29">
        <f>CHOOSE(MONTH(Invoices[[#This Row],[Date]]),1,1,1,2,2,2,3,3,3,4,4,4)</f>
        <v>3</v>
      </c>
      <c r="W291" s="30">
        <f>IFERROR(Invoices[[#This Row],[Profit]]/Invoices[[#This Row],[Revenue]],0)</f>
        <v>0.79359999999999997</v>
      </c>
    </row>
    <row r="292" spans="1:23" x14ac:dyDescent="0.3">
      <c r="A292" s="19" t="s">
        <v>5</v>
      </c>
      <c r="B292" s="9">
        <v>22893</v>
      </c>
      <c r="C292" s="15">
        <v>41487</v>
      </c>
      <c r="D292" s="9">
        <v>119</v>
      </c>
      <c r="E292" s="10" t="s">
        <v>87</v>
      </c>
      <c r="F292" s="8">
        <v>4</v>
      </c>
      <c r="G292" s="10"/>
      <c r="H292" s="4" t="s">
        <v>130</v>
      </c>
      <c r="I292" s="4" t="s">
        <v>47</v>
      </c>
      <c r="J292" s="4">
        <v>50</v>
      </c>
      <c r="K292" s="23">
        <v>24</v>
      </c>
      <c r="L292">
        <f>IF(Invoices[[#This Row],[Document Type]]="Return",Invoices[[#This Row],[Unit Price]]*-1,Invoices[[#This Row],[Unit Price]])</f>
        <v>24</v>
      </c>
      <c r="M292" t="str">
        <f>IF(Invoices[[#This Row],[New Unit Price]]&lt;0,"Return",
IF(Invoices[[#This Row],[New Unit Price]]=0,"Free",IF(Invoices[[#This Row],[New Unit Price]]&lt;100,"Basic","Premium")))</f>
        <v>Basic</v>
      </c>
      <c r="N292">
        <f>VLOOKUP(Invoices[[#This Row],[Part  '#]],Products[],4,0)</f>
        <v>7.09</v>
      </c>
      <c r="O292" t="str">
        <f>VLOOKUP(Invoices[[#This Row],[Customer Account]],Customers[],4,0)</f>
        <v>Financial</v>
      </c>
      <c r="P292" t="str">
        <f>VLOOKUP(Invoices[[#This Row],[Customer Account]],Customers[],3,0)</f>
        <v>Georgia</v>
      </c>
      <c r="Q292" t="str">
        <f>VLOOKUP(Invoices[[#This Row],[Part  '#]],Products[],3,0)</f>
        <v>Consumables</v>
      </c>
      <c r="R292" s="25">
        <f>Invoices[[#This Row],[Quantity]]*Invoices[[#This Row],[Unit Cost]]</f>
        <v>354.5</v>
      </c>
      <c r="S292" s="25">
        <f>Invoices[[#This Row],[Quantity]]*Invoices[[#This Row],[New Unit Price]]</f>
        <v>1200</v>
      </c>
      <c r="T292" s="25">
        <f>Invoices[[#This Row],[Revenue]]-Invoices[[#This Row],[Cost]]</f>
        <v>845.5</v>
      </c>
      <c r="U292" s="25" t="str">
        <f>TEXT(Invoices[[#This Row],[Date]],"MMM")</f>
        <v>Aug</v>
      </c>
      <c r="V292" s="29">
        <f>CHOOSE(MONTH(Invoices[[#This Row],[Date]]),1,1,1,2,2,2,3,3,3,4,4,4)</f>
        <v>3</v>
      </c>
      <c r="W292" s="30">
        <f>IFERROR(Invoices[[#This Row],[Profit]]/Invoices[[#This Row],[Revenue]],0)</f>
        <v>0.70458333333333334</v>
      </c>
    </row>
    <row r="293" spans="1:23" x14ac:dyDescent="0.3">
      <c r="A293" s="19" t="s">
        <v>5</v>
      </c>
      <c r="B293" s="9">
        <v>22894</v>
      </c>
      <c r="C293" s="15">
        <v>41490</v>
      </c>
      <c r="D293" s="9">
        <v>111</v>
      </c>
      <c r="E293" s="10" t="s">
        <v>77</v>
      </c>
      <c r="F293" s="8">
        <v>1</v>
      </c>
      <c r="G293" s="10"/>
      <c r="H293" s="4" t="s">
        <v>96</v>
      </c>
      <c r="I293" s="4" t="s">
        <v>21</v>
      </c>
      <c r="J293" s="4">
        <v>20</v>
      </c>
      <c r="K293" s="23">
        <v>300</v>
      </c>
      <c r="L293">
        <f>IF(Invoices[[#This Row],[Document Type]]="Return",Invoices[[#This Row],[Unit Price]]*-1,Invoices[[#This Row],[Unit Price]])</f>
        <v>300</v>
      </c>
      <c r="M293" t="str">
        <f>IF(Invoices[[#This Row],[New Unit Price]]&lt;0,"Return",
IF(Invoices[[#This Row],[New Unit Price]]=0,"Free",IF(Invoices[[#This Row],[New Unit Price]]&lt;100,"Basic","Premium")))</f>
        <v>Premium</v>
      </c>
      <c r="N293">
        <f>VLOOKUP(Invoices[[#This Row],[Part  '#]],Products[],4,0)</f>
        <v>174.69</v>
      </c>
      <c r="O293" t="str">
        <f>VLOOKUP(Invoices[[#This Row],[Customer Account]],Customers[],4,0)</f>
        <v>Automotive</v>
      </c>
      <c r="P293" t="str">
        <f>VLOOKUP(Invoices[[#This Row],[Customer Account]],Customers[],3,0)</f>
        <v>Alabama</v>
      </c>
      <c r="Q293" t="str">
        <f>VLOOKUP(Invoices[[#This Row],[Part  '#]],Products[],3,0)</f>
        <v>Product</v>
      </c>
      <c r="R293" s="25">
        <f>Invoices[[#This Row],[Quantity]]*Invoices[[#This Row],[Unit Cost]]</f>
        <v>3493.8</v>
      </c>
      <c r="S293" s="25">
        <f>Invoices[[#This Row],[Quantity]]*Invoices[[#This Row],[New Unit Price]]</f>
        <v>6000</v>
      </c>
      <c r="T293" s="25">
        <f>Invoices[[#This Row],[Revenue]]-Invoices[[#This Row],[Cost]]</f>
        <v>2506.1999999999998</v>
      </c>
      <c r="U293" s="25" t="str">
        <f>TEXT(Invoices[[#This Row],[Date]],"MMM")</f>
        <v>Aug</v>
      </c>
      <c r="V293" s="29">
        <f>CHOOSE(MONTH(Invoices[[#This Row],[Date]]),1,1,1,2,2,2,3,3,3,4,4,4)</f>
        <v>3</v>
      </c>
      <c r="W293" s="30">
        <f>IFERROR(Invoices[[#This Row],[Profit]]/Invoices[[#This Row],[Revenue]],0)</f>
        <v>0.41769999999999996</v>
      </c>
    </row>
    <row r="294" spans="1:23" x14ac:dyDescent="0.3">
      <c r="A294" s="19" t="s">
        <v>5</v>
      </c>
      <c r="B294" s="9">
        <v>22894</v>
      </c>
      <c r="C294" s="15">
        <v>41490</v>
      </c>
      <c r="D294" s="9">
        <v>111</v>
      </c>
      <c r="E294" s="10" t="s">
        <v>77</v>
      </c>
      <c r="F294" s="8">
        <v>2</v>
      </c>
      <c r="G294" s="10"/>
      <c r="H294" s="4" t="s">
        <v>115</v>
      </c>
      <c r="I294" s="4" t="s">
        <v>30</v>
      </c>
      <c r="J294" s="4">
        <v>20</v>
      </c>
      <c r="K294" s="23">
        <v>20</v>
      </c>
      <c r="L294">
        <f>IF(Invoices[[#This Row],[Document Type]]="Return",Invoices[[#This Row],[Unit Price]]*-1,Invoices[[#This Row],[Unit Price]])</f>
        <v>20</v>
      </c>
      <c r="M294" t="str">
        <f>IF(Invoices[[#This Row],[New Unit Price]]&lt;0,"Return",
IF(Invoices[[#This Row],[New Unit Price]]=0,"Free",IF(Invoices[[#This Row],[New Unit Price]]&lt;100,"Basic","Premium")))</f>
        <v>Basic</v>
      </c>
      <c r="N294">
        <f>VLOOKUP(Invoices[[#This Row],[Part  '#]],Products[],4,0)</f>
        <v>4.8</v>
      </c>
      <c r="O294" t="str">
        <f>VLOOKUP(Invoices[[#This Row],[Customer Account]],Customers[],4,0)</f>
        <v>Automotive</v>
      </c>
      <c r="P294" t="str">
        <f>VLOOKUP(Invoices[[#This Row],[Customer Account]],Customers[],3,0)</f>
        <v>Alabama</v>
      </c>
      <c r="Q294" t="str">
        <f>VLOOKUP(Invoices[[#This Row],[Part  '#]],Products[],3,0)</f>
        <v>Accessories</v>
      </c>
      <c r="R294" s="25">
        <f>Invoices[[#This Row],[Quantity]]*Invoices[[#This Row],[Unit Cost]]</f>
        <v>96</v>
      </c>
      <c r="S294" s="25">
        <f>Invoices[[#This Row],[Quantity]]*Invoices[[#This Row],[New Unit Price]]</f>
        <v>400</v>
      </c>
      <c r="T294" s="25">
        <f>Invoices[[#This Row],[Revenue]]-Invoices[[#This Row],[Cost]]</f>
        <v>304</v>
      </c>
      <c r="U294" s="25" t="str">
        <f>TEXT(Invoices[[#This Row],[Date]],"MMM")</f>
        <v>Aug</v>
      </c>
      <c r="V294" s="29">
        <f>CHOOSE(MONTH(Invoices[[#This Row],[Date]]),1,1,1,2,2,2,3,3,3,4,4,4)</f>
        <v>3</v>
      </c>
      <c r="W294" s="30">
        <f>IFERROR(Invoices[[#This Row],[Profit]]/Invoices[[#This Row],[Revenue]],0)</f>
        <v>0.76</v>
      </c>
    </row>
    <row r="295" spans="1:23" x14ac:dyDescent="0.3">
      <c r="A295" s="19" t="s">
        <v>5</v>
      </c>
      <c r="B295" s="9">
        <v>22894</v>
      </c>
      <c r="C295" s="15">
        <v>41490</v>
      </c>
      <c r="D295" s="9">
        <v>111</v>
      </c>
      <c r="E295" s="10" t="s">
        <v>77</v>
      </c>
      <c r="F295" s="8">
        <v>3</v>
      </c>
      <c r="G295" s="10"/>
      <c r="H295" s="4" t="s">
        <v>116</v>
      </c>
      <c r="I295" s="4" t="s">
        <v>32</v>
      </c>
      <c r="J295" s="4">
        <v>20</v>
      </c>
      <c r="K295" s="23">
        <v>20</v>
      </c>
      <c r="L295">
        <f>IF(Invoices[[#This Row],[Document Type]]="Return",Invoices[[#This Row],[Unit Price]]*-1,Invoices[[#This Row],[Unit Price]])</f>
        <v>20</v>
      </c>
      <c r="M295" t="str">
        <f>IF(Invoices[[#This Row],[New Unit Price]]&lt;0,"Return",
IF(Invoices[[#This Row],[New Unit Price]]=0,"Free",IF(Invoices[[#This Row],[New Unit Price]]&lt;100,"Basic","Premium")))</f>
        <v>Basic</v>
      </c>
      <c r="N295">
        <f>VLOOKUP(Invoices[[#This Row],[Part  '#]],Products[],4,0)</f>
        <v>8.15</v>
      </c>
      <c r="O295" t="str">
        <f>VLOOKUP(Invoices[[#This Row],[Customer Account]],Customers[],4,0)</f>
        <v>Automotive</v>
      </c>
      <c r="P295" t="str">
        <f>VLOOKUP(Invoices[[#This Row],[Customer Account]],Customers[],3,0)</f>
        <v>Alabama</v>
      </c>
      <c r="Q295" t="str">
        <f>VLOOKUP(Invoices[[#This Row],[Part  '#]],Products[],3,0)</f>
        <v>Accessories</v>
      </c>
      <c r="R295" s="25">
        <f>Invoices[[#This Row],[Quantity]]*Invoices[[#This Row],[Unit Cost]]</f>
        <v>163</v>
      </c>
      <c r="S295" s="25">
        <f>Invoices[[#This Row],[Quantity]]*Invoices[[#This Row],[New Unit Price]]</f>
        <v>400</v>
      </c>
      <c r="T295" s="25">
        <f>Invoices[[#This Row],[Revenue]]-Invoices[[#This Row],[Cost]]</f>
        <v>237</v>
      </c>
      <c r="U295" s="25" t="str">
        <f>TEXT(Invoices[[#This Row],[Date]],"MMM")</f>
        <v>Aug</v>
      </c>
      <c r="V295" s="29">
        <f>CHOOSE(MONTH(Invoices[[#This Row],[Date]]),1,1,1,2,2,2,3,3,3,4,4,4)</f>
        <v>3</v>
      </c>
      <c r="W295" s="30">
        <f>IFERROR(Invoices[[#This Row],[Profit]]/Invoices[[#This Row],[Revenue]],0)</f>
        <v>0.59250000000000003</v>
      </c>
    </row>
    <row r="296" spans="1:23" x14ac:dyDescent="0.3">
      <c r="A296" s="19" t="s">
        <v>5</v>
      </c>
      <c r="B296" s="9">
        <v>22894</v>
      </c>
      <c r="C296" s="15">
        <v>41490</v>
      </c>
      <c r="D296" s="9">
        <v>111</v>
      </c>
      <c r="E296" s="10" t="s">
        <v>77</v>
      </c>
      <c r="F296" s="8">
        <v>4</v>
      </c>
      <c r="G296" s="10"/>
      <c r="H296" s="4" t="s">
        <v>118</v>
      </c>
      <c r="I296" s="4" t="s">
        <v>42</v>
      </c>
      <c r="J296" s="4">
        <v>20</v>
      </c>
      <c r="K296" s="23">
        <v>40</v>
      </c>
      <c r="L296">
        <f>IF(Invoices[[#This Row],[Document Type]]="Return",Invoices[[#This Row],[Unit Price]]*-1,Invoices[[#This Row],[Unit Price]])</f>
        <v>40</v>
      </c>
      <c r="M296" t="str">
        <f>IF(Invoices[[#This Row],[New Unit Price]]&lt;0,"Return",
IF(Invoices[[#This Row],[New Unit Price]]=0,"Free",IF(Invoices[[#This Row],[New Unit Price]]&lt;100,"Basic","Premium")))</f>
        <v>Basic</v>
      </c>
      <c r="N296">
        <f>VLOOKUP(Invoices[[#This Row],[Part  '#]],Products[],4,0)</f>
        <v>12.33</v>
      </c>
      <c r="O296" t="str">
        <f>VLOOKUP(Invoices[[#This Row],[Customer Account]],Customers[],4,0)</f>
        <v>Automotive</v>
      </c>
      <c r="P296" t="str">
        <f>VLOOKUP(Invoices[[#This Row],[Customer Account]],Customers[],3,0)</f>
        <v>Alabama</v>
      </c>
      <c r="Q296" t="str">
        <f>VLOOKUP(Invoices[[#This Row],[Part  '#]],Products[],3,0)</f>
        <v>Accessories</v>
      </c>
      <c r="R296" s="25">
        <f>Invoices[[#This Row],[Quantity]]*Invoices[[#This Row],[Unit Cost]]</f>
        <v>246.6</v>
      </c>
      <c r="S296" s="25">
        <f>Invoices[[#This Row],[Quantity]]*Invoices[[#This Row],[New Unit Price]]</f>
        <v>800</v>
      </c>
      <c r="T296" s="25">
        <f>Invoices[[#This Row],[Revenue]]-Invoices[[#This Row],[Cost]]</f>
        <v>553.4</v>
      </c>
      <c r="U296" s="25" t="str">
        <f>TEXT(Invoices[[#This Row],[Date]],"MMM")</f>
        <v>Aug</v>
      </c>
      <c r="V296" s="29">
        <f>CHOOSE(MONTH(Invoices[[#This Row],[Date]]),1,1,1,2,2,2,3,3,3,4,4,4)</f>
        <v>3</v>
      </c>
      <c r="W296" s="30">
        <f>IFERROR(Invoices[[#This Row],[Profit]]/Invoices[[#This Row],[Revenue]],0)</f>
        <v>0.69174999999999998</v>
      </c>
    </row>
    <row r="297" spans="1:23" x14ac:dyDescent="0.3">
      <c r="A297" s="19" t="s">
        <v>5</v>
      </c>
      <c r="B297" s="9">
        <v>22894</v>
      </c>
      <c r="C297" s="15">
        <v>41490</v>
      </c>
      <c r="D297" s="9">
        <v>111</v>
      </c>
      <c r="E297" s="10" t="s">
        <v>77</v>
      </c>
      <c r="F297" s="8">
        <v>5</v>
      </c>
      <c r="G297" s="10"/>
      <c r="H297" s="4" t="s">
        <v>122</v>
      </c>
      <c r="I297" s="4" t="s">
        <v>56</v>
      </c>
      <c r="J297" s="4">
        <v>20</v>
      </c>
      <c r="K297" s="23">
        <v>250</v>
      </c>
      <c r="L297">
        <f>IF(Invoices[[#This Row],[Document Type]]="Return",Invoices[[#This Row],[Unit Price]]*-1,Invoices[[#This Row],[Unit Price]])</f>
        <v>250</v>
      </c>
      <c r="M297" t="str">
        <f>IF(Invoices[[#This Row],[New Unit Price]]&lt;0,"Return",
IF(Invoices[[#This Row],[New Unit Price]]=0,"Free",IF(Invoices[[#This Row],[New Unit Price]]&lt;100,"Basic","Premium")))</f>
        <v>Premium</v>
      </c>
      <c r="N297">
        <f>VLOOKUP(Invoices[[#This Row],[Part  '#]],Products[],4,0)</f>
        <v>76.19</v>
      </c>
      <c r="O297" t="str">
        <f>VLOOKUP(Invoices[[#This Row],[Customer Account]],Customers[],4,0)</f>
        <v>Automotive</v>
      </c>
      <c r="P297" t="str">
        <f>VLOOKUP(Invoices[[#This Row],[Customer Account]],Customers[],3,0)</f>
        <v>Alabama</v>
      </c>
      <c r="Q297" t="str">
        <f>VLOOKUP(Invoices[[#This Row],[Part  '#]],Products[],3,0)</f>
        <v>Accessories</v>
      </c>
      <c r="R297" s="25">
        <f>Invoices[[#This Row],[Quantity]]*Invoices[[#This Row],[Unit Cost]]</f>
        <v>1523.8</v>
      </c>
      <c r="S297" s="25">
        <f>Invoices[[#This Row],[Quantity]]*Invoices[[#This Row],[New Unit Price]]</f>
        <v>5000</v>
      </c>
      <c r="T297" s="25">
        <f>Invoices[[#This Row],[Revenue]]-Invoices[[#This Row],[Cost]]</f>
        <v>3476.2</v>
      </c>
      <c r="U297" s="25" t="str">
        <f>TEXT(Invoices[[#This Row],[Date]],"MMM")</f>
        <v>Aug</v>
      </c>
      <c r="V297" s="29">
        <f>CHOOSE(MONTH(Invoices[[#This Row],[Date]]),1,1,1,2,2,2,3,3,3,4,4,4)</f>
        <v>3</v>
      </c>
      <c r="W297" s="30">
        <f>IFERROR(Invoices[[#This Row],[Profit]]/Invoices[[#This Row],[Revenue]],0)</f>
        <v>0.69523999999999997</v>
      </c>
    </row>
    <row r="298" spans="1:23" x14ac:dyDescent="0.3">
      <c r="A298" s="19" t="s">
        <v>5</v>
      </c>
      <c r="B298" s="9">
        <v>22895</v>
      </c>
      <c r="C298" s="15">
        <v>41501</v>
      </c>
      <c r="D298" s="9">
        <v>109</v>
      </c>
      <c r="E298" s="10" t="s">
        <v>74</v>
      </c>
      <c r="F298" s="8">
        <v>1</v>
      </c>
      <c r="G298" s="10"/>
      <c r="H298" s="4" t="s">
        <v>96</v>
      </c>
      <c r="I298" s="4" t="s">
        <v>21</v>
      </c>
      <c r="J298" s="4">
        <v>1</v>
      </c>
      <c r="K298" s="23">
        <v>300</v>
      </c>
      <c r="L298">
        <f>IF(Invoices[[#This Row],[Document Type]]="Return",Invoices[[#This Row],[Unit Price]]*-1,Invoices[[#This Row],[Unit Price]])</f>
        <v>300</v>
      </c>
      <c r="M298" t="str">
        <f>IF(Invoices[[#This Row],[New Unit Price]]&lt;0,"Return",
IF(Invoices[[#This Row],[New Unit Price]]=0,"Free",IF(Invoices[[#This Row],[New Unit Price]]&lt;100,"Basic","Premium")))</f>
        <v>Premium</v>
      </c>
      <c r="N298">
        <f>VLOOKUP(Invoices[[#This Row],[Part  '#]],Products[],4,0)</f>
        <v>174.69</v>
      </c>
      <c r="O298" t="str">
        <f>VLOOKUP(Invoices[[#This Row],[Customer Account]],Customers[],4,0)</f>
        <v>Financial</v>
      </c>
      <c r="P298" t="str">
        <f>VLOOKUP(Invoices[[#This Row],[Customer Account]],Customers[],3,0)</f>
        <v>Georgia</v>
      </c>
      <c r="Q298" t="str">
        <f>VLOOKUP(Invoices[[#This Row],[Part  '#]],Products[],3,0)</f>
        <v>Product</v>
      </c>
      <c r="R298" s="25">
        <f>Invoices[[#This Row],[Quantity]]*Invoices[[#This Row],[Unit Cost]]</f>
        <v>174.69</v>
      </c>
      <c r="S298" s="25">
        <f>Invoices[[#This Row],[Quantity]]*Invoices[[#This Row],[New Unit Price]]</f>
        <v>300</v>
      </c>
      <c r="T298" s="25">
        <f>Invoices[[#This Row],[Revenue]]-Invoices[[#This Row],[Cost]]</f>
        <v>125.31</v>
      </c>
      <c r="U298" s="25" t="str">
        <f>TEXT(Invoices[[#This Row],[Date]],"MMM")</f>
        <v>Aug</v>
      </c>
      <c r="V298" s="29">
        <f>CHOOSE(MONTH(Invoices[[#This Row],[Date]]),1,1,1,2,2,2,3,3,3,4,4,4)</f>
        <v>3</v>
      </c>
      <c r="W298" s="30">
        <f>IFERROR(Invoices[[#This Row],[Profit]]/Invoices[[#This Row],[Revenue]],0)</f>
        <v>0.41770000000000002</v>
      </c>
    </row>
    <row r="299" spans="1:23" x14ac:dyDescent="0.3">
      <c r="A299" s="19" t="s">
        <v>5</v>
      </c>
      <c r="B299" s="9">
        <v>22895</v>
      </c>
      <c r="C299" s="15">
        <v>41501</v>
      </c>
      <c r="D299" s="9">
        <v>109</v>
      </c>
      <c r="E299" s="10" t="s">
        <v>74</v>
      </c>
      <c r="F299" s="8">
        <v>2</v>
      </c>
      <c r="G299" s="10"/>
      <c r="H299" s="4" t="s">
        <v>115</v>
      </c>
      <c r="I299" s="4" t="s">
        <v>30</v>
      </c>
      <c r="J299" s="4">
        <v>1</v>
      </c>
      <c r="K299" s="23">
        <v>20</v>
      </c>
      <c r="L299">
        <f>IF(Invoices[[#This Row],[Document Type]]="Return",Invoices[[#This Row],[Unit Price]]*-1,Invoices[[#This Row],[Unit Price]])</f>
        <v>20</v>
      </c>
      <c r="M299" t="str">
        <f>IF(Invoices[[#This Row],[New Unit Price]]&lt;0,"Return",
IF(Invoices[[#This Row],[New Unit Price]]=0,"Free",IF(Invoices[[#This Row],[New Unit Price]]&lt;100,"Basic","Premium")))</f>
        <v>Basic</v>
      </c>
      <c r="N299">
        <f>VLOOKUP(Invoices[[#This Row],[Part  '#]],Products[],4,0)</f>
        <v>4.8</v>
      </c>
      <c r="O299" t="str">
        <f>VLOOKUP(Invoices[[#This Row],[Customer Account]],Customers[],4,0)</f>
        <v>Financial</v>
      </c>
      <c r="P299" t="str">
        <f>VLOOKUP(Invoices[[#This Row],[Customer Account]],Customers[],3,0)</f>
        <v>Georgia</v>
      </c>
      <c r="Q299" t="str">
        <f>VLOOKUP(Invoices[[#This Row],[Part  '#]],Products[],3,0)</f>
        <v>Accessories</v>
      </c>
      <c r="R299" s="25">
        <f>Invoices[[#This Row],[Quantity]]*Invoices[[#This Row],[Unit Cost]]</f>
        <v>4.8</v>
      </c>
      <c r="S299" s="25">
        <f>Invoices[[#This Row],[Quantity]]*Invoices[[#This Row],[New Unit Price]]</f>
        <v>20</v>
      </c>
      <c r="T299" s="25">
        <f>Invoices[[#This Row],[Revenue]]-Invoices[[#This Row],[Cost]]</f>
        <v>15.2</v>
      </c>
      <c r="U299" s="25" t="str">
        <f>TEXT(Invoices[[#This Row],[Date]],"MMM")</f>
        <v>Aug</v>
      </c>
      <c r="V299" s="29">
        <f>CHOOSE(MONTH(Invoices[[#This Row],[Date]]),1,1,1,2,2,2,3,3,3,4,4,4)</f>
        <v>3</v>
      </c>
      <c r="W299" s="30">
        <f>IFERROR(Invoices[[#This Row],[Profit]]/Invoices[[#This Row],[Revenue]],0)</f>
        <v>0.76</v>
      </c>
    </row>
    <row r="300" spans="1:23" x14ac:dyDescent="0.3">
      <c r="A300" s="19" t="s">
        <v>5</v>
      </c>
      <c r="B300" s="9">
        <v>22895</v>
      </c>
      <c r="C300" s="15">
        <v>41501</v>
      </c>
      <c r="D300" s="9">
        <v>109</v>
      </c>
      <c r="E300" s="10" t="s">
        <v>74</v>
      </c>
      <c r="F300" s="8">
        <v>3</v>
      </c>
      <c r="G300" s="10"/>
      <c r="H300" s="4" t="s">
        <v>117</v>
      </c>
      <c r="I300" s="4" t="s">
        <v>33</v>
      </c>
      <c r="J300" s="4">
        <v>1</v>
      </c>
      <c r="K300" s="23">
        <v>30</v>
      </c>
      <c r="L300">
        <f>IF(Invoices[[#This Row],[Document Type]]="Return",Invoices[[#This Row],[Unit Price]]*-1,Invoices[[#This Row],[Unit Price]])</f>
        <v>30</v>
      </c>
      <c r="M300" t="str">
        <f>IF(Invoices[[#This Row],[New Unit Price]]&lt;0,"Return",
IF(Invoices[[#This Row],[New Unit Price]]=0,"Free",IF(Invoices[[#This Row],[New Unit Price]]&lt;100,"Basic","Premium")))</f>
        <v>Basic</v>
      </c>
      <c r="N300">
        <f>VLOOKUP(Invoices[[#This Row],[Part  '#]],Products[],4,0)</f>
        <v>11.59</v>
      </c>
      <c r="O300" t="str">
        <f>VLOOKUP(Invoices[[#This Row],[Customer Account]],Customers[],4,0)</f>
        <v>Financial</v>
      </c>
      <c r="P300" t="str">
        <f>VLOOKUP(Invoices[[#This Row],[Customer Account]],Customers[],3,0)</f>
        <v>Georgia</v>
      </c>
      <c r="Q300" t="str">
        <f>VLOOKUP(Invoices[[#This Row],[Part  '#]],Products[],3,0)</f>
        <v>Accessories</v>
      </c>
      <c r="R300" s="25">
        <f>Invoices[[#This Row],[Quantity]]*Invoices[[#This Row],[Unit Cost]]</f>
        <v>11.59</v>
      </c>
      <c r="S300" s="25">
        <f>Invoices[[#This Row],[Quantity]]*Invoices[[#This Row],[New Unit Price]]</f>
        <v>30</v>
      </c>
      <c r="T300" s="25">
        <f>Invoices[[#This Row],[Revenue]]-Invoices[[#This Row],[Cost]]</f>
        <v>18.41</v>
      </c>
      <c r="U300" s="25" t="str">
        <f>TEXT(Invoices[[#This Row],[Date]],"MMM")</f>
        <v>Aug</v>
      </c>
      <c r="V300" s="29">
        <f>CHOOSE(MONTH(Invoices[[#This Row],[Date]]),1,1,1,2,2,2,3,3,3,4,4,4)</f>
        <v>3</v>
      </c>
      <c r="W300" s="30">
        <f>IFERROR(Invoices[[#This Row],[Profit]]/Invoices[[#This Row],[Revenue]],0)</f>
        <v>0.61366666666666669</v>
      </c>
    </row>
    <row r="301" spans="1:23" x14ac:dyDescent="0.3">
      <c r="A301" s="19" t="s">
        <v>5</v>
      </c>
      <c r="B301" s="9">
        <v>22895</v>
      </c>
      <c r="C301" s="15">
        <v>41501</v>
      </c>
      <c r="D301" s="9">
        <v>109</v>
      </c>
      <c r="E301" s="10" t="s">
        <v>74</v>
      </c>
      <c r="F301" s="8">
        <v>4</v>
      </c>
      <c r="G301" s="10"/>
      <c r="H301" s="4" t="s">
        <v>119</v>
      </c>
      <c r="I301" s="4" t="s">
        <v>43</v>
      </c>
      <c r="J301" s="4">
        <v>1</v>
      </c>
      <c r="K301" s="23">
        <v>60</v>
      </c>
      <c r="L301">
        <f>IF(Invoices[[#This Row],[Document Type]]="Return",Invoices[[#This Row],[Unit Price]]*-1,Invoices[[#This Row],[Unit Price]])</f>
        <v>60</v>
      </c>
      <c r="M301" t="str">
        <f>IF(Invoices[[#This Row],[New Unit Price]]&lt;0,"Return",
IF(Invoices[[#This Row],[New Unit Price]]=0,"Free",IF(Invoices[[#This Row],[New Unit Price]]&lt;100,"Basic","Premium")))</f>
        <v>Basic</v>
      </c>
      <c r="N301">
        <f>VLOOKUP(Invoices[[#This Row],[Part  '#]],Products[],4,0)</f>
        <v>17.22</v>
      </c>
      <c r="O301" t="str">
        <f>VLOOKUP(Invoices[[#This Row],[Customer Account]],Customers[],4,0)</f>
        <v>Financial</v>
      </c>
      <c r="P301" t="str">
        <f>VLOOKUP(Invoices[[#This Row],[Customer Account]],Customers[],3,0)</f>
        <v>Georgia</v>
      </c>
      <c r="Q301" t="str">
        <f>VLOOKUP(Invoices[[#This Row],[Part  '#]],Products[],3,0)</f>
        <v>Accessories</v>
      </c>
      <c r="R301" s="25">
        <f>Invoices[[#This Row],[Quantity]]*Invoices[[#This Row],[Unit Cost]]</f>
        <v>17.22</v>
      </c>
      <c r="S301" s="25">
        <f>Invoices[[#This Row],[Quantity]]*Invoices[[#This Row],[New Unit Price]]</f>
        <v>60</v>
      </c>
      <c r="T301" s="25">
        <f>Invoices[[#This Row],[Revenue]]-Invoices[[#This Row],[Cost]]</f>
        <v>42.78</v>
      </c>
      <c r="U301" s="25" t="str">
        <f>TEXT(Invoices[[#This Row],[Date]],"MMM")</f>
        <v>Aug</v>
      </c>
      <c r="V301" s="29">
        <f>CHOOSE(MONTH(Invoices[[#This Row],[Date]]),1,1,1,2,2,2,3,3,3,4,4,4)</f>
        <v>3</v>
      </c>
      <c r="W301" s="30">
        <f>IFERROR(Invoices[[#This Row],[Profit]]/Invoices[[#This Row],[Revenue]],0)</f>
        <v>0.71299999999999997</v>
      </c>
    </row>
    <row r="302" spans="1:23" x14ac:dyDescent="0.3">
      <c r="A302" s="19" t="s">
        <v>5</v>
      </c>
      <c r="B302" s="9">
        <v>22896</v>
      </c>
      <c r="C302" s="15">
        <v>41501</v>
      </c>
      <c r="D302" s="9">
        <v>110</v>
      </c>
      <c r="E302" s="10" t="s">
        <v>75</v>
      </c>
      <c r="F302" s="8">
        <v>1</v>
      </c>
      <c r="G302" s="10"/>
      <c r="H302" s="4" t="s">
        <v>135</v>
      </c>
      <c r="I302" s="4" t="s">
        <v>52</v>
      </c>
      <c r="J302" s="4">
        <v>10</v>
      </c>
      <c r="K302" s="23">
        <v>100</v>
      </c>
      <c r="L302">
        <f>IF(Invoices[[#This Row],[Document Type]]="Return",Invoices[[#This Row],[Unit Price]]*-1,Invoices[[#This Row],[Unit Price]])</f>
        <v>100</v>
      </c>
      <c r="M302" t="str">
        <f>IF(Invoices[[#This Row],[New Unit Price]]&lt;0,"Return",
IF(Invoices[[#This Row],[New Unit Price]]=0,"Free",IF(Invoices[[#This Row],[New Unit Price]]&lt;100,"Basic","Premium")))</f>
        <v>Premium</v>
      </c>
      <c r="N302">
        <f>VLOOKUP(Invoices[[#This Row],[Part  '#]],Products[],4,0)</f>
        <v>27.17</v>
      </c>
      <c r="O302" t="str">
        <f>VLOOKUP(Invoices[[#This Row],[Customer Account]],Customers[],4,0)</f>
        <v>Automotive</v>
      </c>
      <c r="P302" t="str">
        <f>VLOOKUP(Invoices[[#This Row],[Customer Account]],Customers[],3,0)</f>
        <v>Alabama</v>
      </c>
      <c r="Q302" t="str">
        <f>VLOOKUP(Invoices[[#This Row],[Part  '#]],Products[],3,0)</f>
        <v>Consumables</v>
      </c>
      <c r="R302" s="25">
        <f>Invoices[[#This Row],[Quantity]]*Invoices[[#This Row],[Unit Cost]]</f>
        <v>271.70000000000005</v>
      </c>
      <c r="S302" s="25">
        <f>Invoices[[#This Row],[Quantity]]*Invoices[[#This Row],[New Unit Price]]</f>
        <v>1000</v>
      </c>
      <c r="T302" s="25">
        <f>Invoices[[#This Row],[Revenue]]-Invoices[[#This Row],[Cost]]</f>
        <v>728.3</v>
      </c>
      <c r="U302" s="25" t="str">
        <f>TEXT(Invoices[[#This Row],[Date]],"MMM")</f>
        <v>Aug</v>
      </c>
      <c r="V302" s="29">
        <f>CHOOSE(MONTH(Invoices[[#This Row],[Date]]),1,1,1,2,2,2,3,3,3,4,4,4)</f>
        <v>3</v>
      </c>
      <c r="W302" s="30">
        <f>IFERROR(Invoices[[#This Row],[Profit]]/Invoices[[#This Row],[Revenue]],0)</f>
        <v>0.72829999999999995</v>
      </c>
    </row>
    <row r="303" spans="1:23" x14ac:dyDescent="0.3">
      <c r="A303" s="19" t="s">
        <v>5</v>
      </c>
      <c r="B303" s="9">
        <v>22896</v>
      </c>
      <c r="C303" s="15">
        <v>41501</v>
      </c>
      <c r="D303" s="9">
        <v>110</v>
      </c>
      <c r="E303" s="10" t="s">
        <v>75</v>
      </c>
      <c r="F303" s="8">
        <v>2</v>
      </c>
      <c r="G303" s="10"/>
      <c r="H303" s="4" t="s">
        <v>136</v>
      </c>
      <c r="I303" s="4" t="s">
        <v>53</v>
      </c>
      <c r="J303" s="4">
        <v>10</v>
      </c>
      <c r="K303" s="23">
        <v>140</v>
      </c>
      <c r="L303">
        <f>IF(Invoices[[#This Row],[Document Type]]="Return",Invoices[[#This Row],[Unit Price]]*-1,Invoices[[#This Row],[Unit Price]])</f>
        <v>140</v>
      </c>
      <c r="M303" t="str">
        <f>IF(Invoices[[#This Row],[New Unit Price]]&lt;0,"Return",
IF(Invoices[[#This Row],[New Unit Price]]=0,"Free",IF(Invoices[[#This Row],[New Unit Price]]&lt;100,"Basic","Premium")))</f>
        <v>Premium</v>
      </c>
      <c r="N303">
        <f>VLOOKUP(Invoices[[#This Row],[Part  '#]],Products[],4,0)</f>
        <v>34.299999999999997</v>
      </c>
      <c r="O303" t="str">
        <f>VLOOKUP(Invoices[[#This Row],[Customer Account]],Customers[],4,0)</f>
        <v>Automotive</v>
      </c>
      <c r="P303" t="str">
        <f>VLOOKUP(Invoices[[#This Row],[Customer Account]],Customers[],3,0)</f>
        <v>Alabama</v>
      </c>
      <c r="Q303" t="str">
        <f>VLOOKUP(Invoices[[#This Row],[Part  '#]],Products[],3,0)</f>
        <v>Consumables</v>
      </c>
      <c r="R303" s="25">
        <f>Invoices[[#This Row],[Quantity]]*Invoices[[#This Row],[Unit Cost]]</f>
        <v>343</v>
      </c>
      <c r="S303" s="25">
        <f>Invoices[[#This Row],[Quantity]]*Invoices[[#This Row],[New Unit Price]]</f>
        <v>1400</v>
      </c>
      <c r="T303" s="25">
        <f>Invoices[[#This Row],[Revenue]]-Invoices[[#This Row],[Cost]]</f>
        <v>1057</v>
      </c>
      <c r="U303" s="25" t="str">
        <f>TEXT(Invoices[[#This Row],[Date]],"MMM")</f>
        <v>Aug</v>
      </c>
      <c r="V303" s="29">
        <f>CHOOSE(MONTH(Invoices[[#This Row],[Date]]),1,1,1,2,2,2,3,3,3,4,4,4)</f>
        <v>3</v>
      </c>
      <c r="W303" s="30">
        <f>IFERROR(Invoices[[#This Row],[Profit]]/Invoices[[#This Row],[Revenue]],0)</f>
        <v>0.755</v>
      </c>
    </row>
    <row r="304" spans="1:23" x14ac:dyDescent="0.3">
      <c r="A304" s="19" t="s">
        <v>5</v>
      </c>
      <c r="B304" s="9">
        <v>22896</v>
      </c>
      <c r="C304" s="15">
        <v>41501</v>
      </c>
      <c r="D304" s="9">
        <v>110</v>
      </c>
      <c r="E304" s="10" t="s">
        <v>75</v>
      </c>
      <c r="F304" s="8">
        <v>3</v>
      </c>
      <c r="G304" s="10"/>
      <c r="H304" s="4" t="s">
        <v>131</v>
      </c>
      <c r="I304" s="4" t="s">
        <v>48</v>
      </c>
      <c r="J304" s="4">
        <v>24</v>
      </c>
      <c r="K304" s="23">
        <v>50</v>
      </c>
      <c r="L304">
        <f>IF(Invoices[[#This Row],[Document Type]]="Return",Invoices[[#This Row],[Unit Price]]*-1,Invoices[[#This Row],[Unit Price]])</f>
        <v>50</v>
      </c>
      <c r="M304" t="str">
        <f>IF(Invoices[[#This Row],[New Unit Price]]&lt;0,"Return",
IF(Invoices[[#This Row],[New Unit Price]]=0,"Free",IF(Invoices[[#This Row],[New Unit Price]]&lt;100,"Basic","Premium")))</f>
        <v>Basic</v>
      </c>
      <c r="N304">
        <f>VLOOKUP(Invoices[[#This Row],[Part  '#]],Products[],4,0)</f>
        <v>11.67</v>
      </c>
      <c r="O304" t="str">
        <f>VLOOKUP(Invoices[[#This Row],[Customer Account]],Customers[],4,0)</f>
        <v>Automotive</v>
      </c>
      <c r="P304" t="str">
        <f>VLOOKUP(Invoices[[#This Row],[Customer Account]],Customers[],3,0)</f>
        <v>Alabama</v>
      </c>
      <c r="Q304" t="str">
        <f>VLOOKUP(Invoices[[#This Row],[Part  '#]],Products[],3,0)</f>
        <v>Consumables</v>
      </c>
      <c r="R304" s="25">
        <f>Invoices[[#This Row],[Quantity]]*Invoices[[#This Row],[Unit Cost]]</f>
        <v>280.08</v>
      </c>
      <c r="S304" s="25">
        <f>Invoices[[#This Row],[Quantity]]*Invoices[[#This Row],[New Unit Price]]</f>
        <v>1200</v>
      </c>
      <c r="T304" s="25">
        <f>Invoices[[#This Row],[Revenue]]-Invoices[[#This Row],[Cost]]</f>
        <v>919.92000000000007</v>
      </c>
      <c r="U304" s="25" t="str">
        <f>TEXT(Invoices[[#This Row],[Date]],"MMM")</f>
        <v>Aug</v>
      </c>
      <c r="V304" s="29">
        <f>CHOOSE(MONTH(Invoices[[#This Row],[Date]]),1,1,1,2,2,2,3,3,3,4,4,4)</f>
        <v>3</v>
      </c>
      <c r="W304" s="30">
        <f>IFERROR(Invoices[[#This Row],[Profit]]/Invoices[[#This Row],[Revenue]],0)</f>
        <v>0.76660000000000006</v>
      </c>
    </row>
    <row r="305" spans="1:23" x14ac:dyDescent="0.3">
      <c r="A305" s="19" t="s">
        <v>5</v>
      </c>
      <c r="B305" s="9">
        <v>22896</v>
      </c>
      <c r="C305" s="15">
        <v>41501</v>
      </c>
      <c r="D305" s="9">
        <v>110</v>
      </c>
      <c r="E305" s="10" t="s">
        <v>75</v>
      </c>
      <c r="F305" s="8">
        <v>4</v>
      </c>
      <c r="G305" s="10"/>
      <c r="H305" s="4" t="s">
        <v>125</v>
      </c>
      <c r="I305" s="4" t="s">
        <v>40</v>
      </c>
      <c r="J305" s="4">
        <v>24</v>
      </c>
      <c r="K305" s="23">
        <v>30</v>
      </c>
      <c r="L305">
        <f>IF(Invoices[[#This Row],[Document Type]]="Return",Invoices[[#This Row],[Unit Price]]*-1,Invoices[[#This Row],[Unit Price]])</f>
        <v>30</v>
      </c>
      <c r="M305" t="str">
        <f>IF(Invoices[[#This Row],[New Unit Price]]&lt;0,"Return",
IF(Invoices[[#This Row],[New Unit Price]]=0,"Free",IF(Invoices[[#This Row],[New Unit Price]]&lt;100,"Basic","Premium")))</f>
        <v>Basic</v>
      </c>
      <c r="N305">
        <f>VLOOKUP(Invoices[[#This Row],[Part  '#]],Products[],4,0)</f>
        <v>6.9</v>
      </c>
      <c r="O305" t="str">
        <f>VLOOKUP(Invoices[[#This Row],[Customer Account]],Customers[],4,0)</f>
        <v>Automotive</v>
      </c>
      <c r="P305" t="str">
        <f>VLOOKUP(Invoices[[#This Row],[Customer Account]],Customers[],3,0)</f>
        <v>Alabama</v>
      </c>
      <c r="Q305" t="str">
        <f>VLOOKUP(Invoices[[#This Row],[Part  '#]],Products[],3,0)</f>
        <v>Consumables</v>
      </c>
      <c r="R305" s="25">
        <f>Invoices[[#This Row],[Quantity]]*Invoices[[#This Row],[Unit Cost]]</f>
        <v>165.60000000000002</v>
      </c>
      <c r="S305" s="25">
        <f>Invoices[[#This Row],[Quantity]]*Invoices[[#This Row],[New Unit Price]]</f>
        <v>720</v>
      </c>
      <c r="T305" s="25">
        <f>Invoices[[#This Row],[Revenue]]-Invoices[[#This Row],[Cost]]</f>
        <v>554.4</v>
      </c>
      <c r="U305" s="25" t="str">
        <f>TEXT(Invoices[[#This Row],[Date]],"MMM")</f>
        <v>Aug</v>
      </c>
      <c r="V305" s="29">
        <f>CHOOSE(MONTH(Invoices[[#This Row],[Date]]),1,1,1,2,2,2,3,3,3,4,4,4)</f>
        <v>3</v>
      </c>
      <c r="W305" s="30">
        <f>IFERROR(Invoices[[#This Row],[Profit]]/Invoices[[#This Row],[Revenue]],0)</f>
        <v>0.77</v>
      </c>
    </row>
    <row r="306" spans="1:23" x14ac:dyDescent="0.3">
      <c r="A306" s="19" t="s">
        <v>5</v>
      </c>
      <c r="B306" s="9">
        <v>22897</v>
      </c>
      <c r="C306" s="15">
        <v>41518</v>
      </c>
      <c r="D306" s="9">
        <v>101</v>
      </c>
      <c r="E306" s="10" t="s">
        <v>61</v>
      </c>
      <c r="F306" s="8">
        <v>1</v>
      </c>
      <c r="G306" s="10"/>
      <c r="H306" s="4" t="s">
        <v>125</v>
      </c>
      <c r="I306" s="4" t="s">
        <v>40</v>
      </c>
      <c r="J306" s="4">
        <v>250</v>
      </c>
      <c r="K306" s="23">
        <v>24</v>
      </c>
      <c r="L306">
        <f>IF(Invoices[[#This Row],[Document Type]]="Return",Invoices[[#This Row],[Unit Price]]*-1,Invoices[[#This Row],[Unit Price]])</f>
        <v>24</v>
      </c>
      <c r="M306" t="str">
        <f>IF(Invoices[[#This Row],[New Unit Price]]&lt;0,"Return",
IF(Invoices[[#This Row],[New Unit Price]]=0,"Free",IF(Invoices[[#This Row],[New Unit Price]]&lt;100,"Basic","Premium")))</f>
        <v>Basic</v>
      </c>
      <c r="N306">
        <f>VLOOKUP(Invoices[[#This Row],[Part  '#]],Products[],4,0)</f>
        <v>6.9</v>
      </c>
      <c r="O306" t="str">
        <f>VLOOKUP(Invoices[[#This Row],[Customer Account]],Customers[],4,0)</f>
        <v>Automotive</v>
      </c>
      <c r="P306" t="str">
        <f>VLOOKUP(Invoices[[#This Row],[Customer Account]],Customers[],3,0)</f>
        <v>Georgia</v>
      </c>
      <c r="Q306" t="str">
        <f>VLOOKUP(Invoices[[#This Row],[Part  '#]],Products[],3,0)</f>
        <v>Consumables</v>
      </c>
      <c r="R306" s="25">
        <f>Invoices[[#This Row],[Quantity]]*Invoices[[#This Row],[Unit Cost]]</f>
        <v>1725</v>
      </c>
      <c r="S306" s="25">
        <f>Invoices[[#This Row],[Quantity]]*Invoices[[#This Row],[New Unit Price]]</f>
        <v>6000</v>
      </c>
      <c r="T306" s="25">
        <f>Invoices[[#This Row],[Revenue]]-Invoices[[#This Row],[Cost]]</f>
        <v>4275</v>
      </c>
      <c r="U306" s="25" t="str">
        <f>TEXT(Invoices[[#This Row],[Date]],"MMM")</f>
        <v>Sep</v>
      </c>
      <c r="V306" s="29">
        <f>CHOOSE(MONTH(Invoices[[#This Row],[Date]]),1,1,1,2,2,2,3,3,3,4,4,4)</f>
        <v>3</v>
      </c>
      <c r="W306" s="30">
        <f>IFERROR(Invoices[[#This Row],[Profit]]/Invoices[[#This Row],[Revenue]],0)</f>
        <v>0.71250000000000002</v>
      </c>
    </row>
    <row r="307" spans="1:23" x14ac:dyDescent="0.3">
      <c r="A307" s="19" t="s">
        <v>5</v>
      </c>
      <c r="B307" s="9">
        <v>22897</v>
      </c>
      <c r="C307" s="15">
        <v>41518</v>
      </c>
      <c r="D307" s="9">
        <v>101</v>
      </c>
      <c r="E307" s="10" t="s">
        <v>61</v>
      </c>
      <c r="F307" s="8">
        <v>2</v>
      </c>
      <c r="G307" s="10"/>
      <c r="H307" s="4" t="s">
        <v>132</v>
      </c>
      <c r="I307" s="4" t="s">
        <v>49</v>
      </c>
      <c r="J307" s="4">
        <v>25</v>
      </c>
      <c r="K307" s="23">
        <v>70</v>
      </c>
      <c r="L307">
        <f>IF(Invoices[[#This Row],[Document Type]]="Return",Invoices[[#This Row],[Unit Price]]*-1,Invoices[[#This Row],[Unit Price]])</f>
        <v>70</v>
      </c>
      <c r="M307" t="str">
        <f>IF(Invoices[[#This Row],[New Unit Price]]&lt;0,"Return",
IF(Invoices[[#This Row],[New Unit Price]]=0,"Free",IF(Invoices[[#This Row],[New Unit Price]]&lt;100,"Basic","Premium")))</f>
        <v>Basic</v>
      </c>
      <c r="N307">
        <f>VLOOKUP(Invoices[[#This Row],[Part  '#]],Products[],4,0)</f>
        <v>13.92</v>
      </c>
      <c r="O307" t="str">
        <f>VLOOKUP(Invoices[[#This Row],[Customer Account]],Customers[],4,0)</f>
        <v>Automotive</v>
      </c>
      <c r="P307" t="str">
        <f>VLOOKUP(Invoices[[#This Row],[Customer Account]],Customers[],3,0)</f>
        <v>Georgia</v>
      </c>
      <c r="Q307" t="str">
        <f>VLOOKUP(Invoices[[#This Row],[Part  '#]],Products[],3,0)</f>
        <v>Consumables</v>
      </c>
      <c r="R307" s="25">
        <f>Invoices[[#This Row],[Quantity]]*Invoices[[#This Row],[Unit Cost]]</f>
        <v>348</v>
      </c>
      <c r="S307" s="25">
        <f>Invoices[[#This Row],[Quantity]]*Invoices[[#This Row],[New Unit Price]]</f>
        <v>1750</v>
      </c>
      <c r="T307" s="25">
        <f>Invoices[[#This Row],[Revenue]]-Invoices[[#This Row],[Cost]]</f>
        <v>1402</v>
      </c>
      <c r="U307" s="25" t="str">
        <f>TEXT(Invoices[[#This Row],[Date]],"MMM")</f>
        <v>Sep</v>
      </c>
      <c r="V307" s="29">
        <f>CHOOSE(MONTH(Invoices[[#This Row],[Date]]),1,1,1,2,2,2,3,3,3,4,4,4)</f>
        <v>3</v>
      </c>
      <c r="W307" s="30">
        <f>IFERROR(Invoices[[#This Row],[Profit]]/Invoices[[#This Row],[Revenue]],0)</f>
        <v>0.80114285714285716</v>
      </c>
    </row>
    <row r="308" spans="1:23" x14ac:dyDescent="0.3">
      <c r="A308" s="19" t="s">
        <v>5</v>
      </c>
      <c r="B308" s="9">
        <v>22898</v>
      </c>
      <c r="C308" s="15">
        <v>41518</v>
      </c>
      <c r="D308" s="9">
        <v>103</v>
      </c>
      <c r="E308" s="10" t="s">
        <v>71</v>
      </c>
      <c r="F308" s="8">
        <v>1</v>
      </c>
      <c r="G308" s="10"/>
      <c r="H308" s="4" t="s">
        <v>132</v>
      </c>
      <c r="I308" s="4" t="s">
        <v>49</v>
      </c>
      <c r="J308" s="4">
        <v>4</v>
      </c>
      <c r="K308" s="23">
        <v>70</v>
      </c>
      <c r="L308">
        <f>IF(Invoices[[#This Row],[Document Type]]="Return",Invoices[[#This Row],[Unit Price]]*-1,Invoices[[#This Row],[Unit Price]])</f>
        <v>70</v>
      </c>
      <c r="M308" t="str">
        <f>IF(Invoices[[#This Row],[New Unit Price]]&lt;0,"Return",
IF(Invoices[[#This Row],[New Unit Price]]=0,"Free",IF(Invoices[[#This Row],[New Unit Price]]&lt;100,"Basic","Premium")))</f>
        <v>Basic</v>
      </c>
      <c r="N308">
        <f>VLOOKUP(Invoices[[#This Row],[Part  '#]],Products[],4,0)</f>
        <v>13.92</v>
      </c>
      <c r="O308" t="str">
        <f>VLOOKUP(Invoices[[#This Row],[Customer Account]],Customers[],4,0)</f>
        <v>Financial</v>
      </c>
      <c r="P308" t="str">
        <f>VLOOKUP(Invoices[[#This Row],[Customer Account]],Customers[],3,0)</f>
        <v>Florida</v>
      </c>
      <c r="Q308" t="str">
        <f>VLOOKUP(Invoices[[#This Row],[Part  '#]],Products[],3,0)</f>
        <v>Consumables</v>
      </c>
      <c r="R308" s="25">
        <f>Invoices[[#This Row],[Quantity]]*Invoices[[#This Row],[Unit Cost]]</f>
        <v>55.68</v>
      </c>
      <c r="S308" s="25">
        <f>Invoices[[#This Row],[Quantity]]*Invoices[[#This Row],[New Unit Price]]</f>
        <v>280</v>
      </c>
      <c r="T308" s="25">
        <f>Invoices[[#This Row],[Revenue]]-Invoices[[#This Row],[Cost]]</f>
        <v>224.32</v>
      </c>
      <c r="U308" s="25" t="str">
        <f>TEXT(Invoices[[#This Row],[Date]],"MMM")</f>
        <v>Sep</v>
      </c>
      <c r="V308" s="29">
        <f>CHOOSE(MONTH(Invoices[[#This Row],[Date]]),1,1,1,2,2,2,3,3,3,4,4,4)</f>
        <v>3</v>
      </c>
      <c r="W308" s="30">
        <f>IFERROR(Invoices[[#This Row],[Profit]]/Invoices[[#This Row],[Revenue]],0)</f>
        <v>0.80114285714285716</v>
      </c>
    </row>
    <row r="309" spans="1:23" x14ac:dyDescent="0.3">
      <c r="A309" s="19" t="s">
        <v>5</v>
      </c>
      <c r="B309" s="9">
        <v>22898</v>
      </c>
      <c r="C309" s="15">
        <v>41518</v>
      </c>
      <c r="D309" s="9">
        <v>103</v>
      </c>
      <c r="E309" s="10" t="s">
        <v>71</v>
      </c>
      <c r="F309" s="8">
        <v>2</v>
      </c>
      <c r="G309" s="10"/>
      <c r="H309" s="4" t="s">
        <v>125</v>
      </c>
      <c r="I309" s="4" t="s">
        <v>40</v>
      </c>
      <c r="J309" s="4">
        <v>4</v>
      </c>
      <c r="K309" s="23">
        <v>30</v>
      </c>
      <c r="L309">
        <f>IF(Invoices[[#This Row],[Document Type]]="Return",Invoices[[#This Row],[Unit Price]]*-1,Invoices[[#This Row],[Unit Price]])</f>
        <v>30</v>
      </c>
      <c r="M309" t="str">
        <f>IF(Invoices[[#This Row],[New Unit Price]]&lt;0,"Return",
IF(Invoices[[#This Row],[New Unit Price]]=0,"Free",IF(Invoices[[#This Row],[New Unit Price]]&lt;100,"Basic","Premium")))</f>
        <v>Basic</v>
      </c>
      <c r="N309">
        <f>VLOOKUP(Invoices[[#This Row],[Part  '#]],Products[],4,0)</f>
        <v>6.9</v>
      </c>
      <c r="O309" t="str">
        <f>VLOOKUP(Invoices[[#This Row],[Customer Account]],Customers[],4,0)</f>
        <v>Financial</v>
      </c>
      <c r="P309" t="str">
        <f>VLOOKUP(Invoices[[#This Row],[Customer Account]],Customers[],3,0)</f>
        <v>Florida</v>
      </c>
      <c r="Q309" t="str">
        <f>VLOOKUP(Invoices[[#This Row],[Part  '#]],Products[],3,0)</f>
        <v>Consumables</v>
      </c>
      <c r="R309" s="25">
        <f>Invoices[[#This Row],[Quantity]]*Invoices[[#This Row],[Unit Cost]]</f>
        <v>27.6</v>
      </c>
      <c r="S309" s="25">
        <f>Invoices[[#This Row],[Quantity]]*Invoices[[#This Row],[New Unit Price]]</f>
        <v>120</v>
      </c>
      <c r="T309" s="25">
        <f>Invoices[[#This Row],[Revenue]]-Invoices[[#This Row],[Cost]]</f>
        <v>92.4</v>
      </c>
      <c r="U309" s="25" t="str">
        <f>TEXT(Invoices[[#This Row],[Date]],"MMM")</f>
        <v>Sep</v>
      </c>
      <c r="V309" s="29">
        <f>CHOOSE(MONTH(Invoices[[#This Row],[Date]]),1,1,1,2,2,2,3,3,3,4,4,4)</f>
        <v>3</v>
      </c>
      <c r="W309" s="30">
        <f>IFERROR(Invoices[[#This Row],[Profit]]/Invoices[[#This Row],[Revenue]],0)</f>
        <v>0.77</v>
      </c>
    </row>
    <row r="310" spans="1:23" x14ac:dyDescent="0.3">
      <c r="A310" s="19" t="s">
        <v>5</v>
      </c>
      <c r="B310" s="9">
        <v>22899</v>
      </c>
      <c r="C310" s="15">
        <v>41518</v>
      </c>
      <c r="D310" s="9">
        <v>105</v>
      </c>
      <c r="E310" s="10" t="s">
        <v>67</v>
      </c>
      <c r="F310" s="8">
        <v>1</v>
      </c>
      <c r="G310" s="10"/>
      <c r="H310" s="4" t="s">
        <v>125</v>
      </c>
      <c r="I310" s="4" t="s">
        <v>40</v>
      </c>
      <c r="J310" s="4">
        <v>120</v>
      </c>
      <c r="K310" s="23">
        <v>24</v>
      </c>
      <c r="L310">
        <f>IF(Invoices[[#This Row],[Document Type]]="Return",Invoices[[#This Row],[Unit Price]]*-1,Invoices[[#This Row],[Unit Price]])</f>
        <v>24</v>
      </c>
      <c r="M310" t="str">
        <f>IF(Invoices[[#This Row],[New Unit Price]]&lt;0,"Return",
IF(Invoices[[#This Row],[New Unit Price]]=0,"Free",IF(Invoices[[#This Row],[New Unit Price]]&lt;100,"Basic","Premium")))</f>
        <v>Basic</v>
      </c>
      <c r="N310">
        <f>VLOOKUP(Invoices[[#This Row],[Part  '#]],Products[],4,0)</f>
        <v>6.9</v>
      </c>
      <c r="O310" t="str">
        <f>VLOOKUP(Invoices[[#This Row],[Customer Account]],Customers[],4,0)</f>
        <v>Automotive</v>
      </c>
      <c r="P310" t="str">
        <f>VLOOKUP(Invoices[[#This Row],[Customer Account]],Customers[],3,0)</f>
        <v>South Carolina</v>
      </c>
      <c r="Q310" t="str">
        <f>VLOOKUP(Invoices[[#This Row],[Part  '#]],Products[],3,0)</f>
        <v>Consumables</v>
      </c>
      <c r="R310" s="25">
        <f>Invoices[[#This Row],[Quantity]]*Invoices[[#This Row],[Unit Cost]]</f>
        <v>828</v>
      </c>
      <c r="S310" s="25">
        <f>Invoices[[#This Row],[Quantity]]*Invoices[[#This Row],[New Unit Price]]</f>
        <v>2880</v>
      </c>
      <c r="T310" s="25">
        <f>Invoices[[#This Row],[Revenue]]-Invoices[[#This Row],[Cost]]</f>
        <v>2052</v>
      </c>
      <c r="U310" s="25" t="str">
        <f>TEXT(Invoices[[#This Row],[Date]],"MMM")</f>
        <v>Sep</v>
      </c>
      <c r="V310" s="29">
        <f>CHOOSE(MONTH(Invoices[[#This Row],[Date]]),1,1,1,2,2,2,3,3,3,4,4,4)</f>
        <v>3</v>
      </c>
      <c r="W310" s="30">
        <f>IFERROR(Invoices[[#This Row],[Profit]]/Invoices[[#This Row],[Revenue]],0)</f>
        <v>0.71250000000000002</v>
      </c>
    </row>
    <row r="311" spans="1:23" x14ac:dyDescent="0.3">
      <c r="A311" s="19" t="s">
        <v>5</v>
      </c>
      <c r="B311" s="9">
        <v>22899</v>
      </c>
      <c r="C311" s="15">
        <v>41518</v>
      </c>
      <c r="D311" s="9">
        <v>105</v>
      </c>
      <c r="E311" s="10" t="s">
        <v>67</v>
      </c>
      <c r="F311" s="8">
        <v>2</v>
      </c>
      <c r="G311" s="10"/>
      <c r="H311" s="4" t="s">
        <v>132</v>
      </c>
      <c r="I311" s="4" t="s">
        <v>49</v>
      </c>
      <c r="J311" s="4">
        <v>50</v>
      </c>
      <c r="K311" s="23">
        <v>70</v>
      </c>
      <c r="L311">
        <f>IF(Invoices[[#This Row],[Document Type]]="Return",Invoices[[#This Row],[Unit Price]]*-1,Invoices[[#This Row],[Unit Price]])</f>
        <v>70</v>
      </c>
      <c r="M311" t="str">
        <f>IF(Invoices[[#This Row],[New Unit Price]]&lt;0,"Return",
IF(Invoices[[#This Row],[New Unit Price]]=0,"Free",IF(Invoices[[#This Row],[New Unit Price]]&lt;100,"Basic","Premium")))</f>
        <v>Basic</v>
      </c>
      <c r="N311">
        <f>VLOOKUP(Invoices[[#This Row],[Part  '#]],Products[],4,0)</f>
        <v>13.92</v>
      </c>
      <c r="O311" t="str">
        <f>VLOOKUP(Invoices[[#This Row],[Customer Account]],Customers[],4,0)</f>
        <v>Automotive</v>
      </c>
      <c r="P311" t="str">
        <f>VLOOKUP(Invoices[[#This Row],[Customer Account]],Customers[],3,0)</f>
        <v>South Carolina</v>
      </c>
      <c r="Q311" t="str">
        <f>VLOOKUP(Invoices[[#This Row],[Part  '#]],Products[],3,0)</f>
        <v>Consumables</v>
      </c>
      <c r="R311" s="25">
        <f>Invoices[[#This Row],[Quantity]]*Invoices[[#This Row],[Unit Cost]]</f>
        <v>696</v>
      </c>
      <c r="S311" s="25">
        <f>Invoices[[#This Row],[Quantity]]*Invoices[[#This Row],[New Unit Price]]</f>
        <v>3500</v>
      </c>
      <c r="T311" s="25">
        <f>Invoices[[#This Row],[Revenue]]-Invoices[[#This Row],[Cost]]</f>
        <v>2804</v>
      </c>
      <c r="U311" s="25" t="str">
        <f>TEXT(Invoices[[#This Row],[Date]],"MMM")</f>
        <v>Sep</v>
      </c>
      <c r="V311" s="29">
        <f>CHOOSE(MONTH(Invoices[[#This Row],[Date]]),1,1,1,2,2,2,3,3,3,4,4,4)</f>
        <v>3</v>
      </c>
      <c r="W311" s="30">
        <f>IFERROR(Invoices[[#This Row],[Profit]]/Invoices[[#This Row],[Revenue]],0)</f>
        <v>0.80114285714285716</v>
      </c>
    </row>
    <row r="312" spans="1:23" x14ac:dyDescent="0.3">
      <c r="A312" s="19" t="s">
        <v>5</v>
      </c>
      <c r="B312" s="9">
        <v>22900</v>
      </c>
      <c r="C312" s="15">
        <v>41518</v>
      </c>
      <c r="D312" s="9">
        <v>106</v>
      </c>
      <c r="E312" s="10" t="s">
        <v>69</v>
      </c>
      <c r="F312" s="8">
        <v>1</v>
      </c>
      <c r="G312" s="10"/>
      <c r="H312" s="4" t="s">
        <v>123</v>
      </c>
      <c r="I312" s="4" t="s">
        <v>38</v>
      </c>
      <c r="J312" s="4">
        <v>80</v>
      </c>
      <c r="K312" s="23">
        <v>18</v>
      </c>
      <c r="L312">
        <f>IF(Invoices[[#This Row],[Document Type]]="Return",Invoices[[#This Row],[Unit Price]]*-1,Invoices[[#This Row],[Unit Price]])</f>
        <v>18</v>
      </c>
      <c r="M312" t="str">
        <f>IF(Invoices[[#This Row],[New Unit Price]]&lt;0,"Return",
IF(Invoices[[#This Row],[New Unit Price]]=0,"Free",IF(Invoices[[#This Row],[New Unit Price]]&lt;100,"Basic","Premium")))</f>
        <v>Basic</v>
      </c>
      <c r="N312">
        <f>VLOOKUP(Invoices[[#This Row],[Part  '#]],Products[],4,0)</f>
        <v>4.58</v>
      </c>
      <c r="O312" t="str">
        <f>VLOOKUP(Invoices[[#This Row],[Customer Account]],Customers[],4,0)</f>
        <v>Automotive</v>
      </c>
      <c r="P312" t="str">
        <f>VLOOKUP(Invoices[[#This Row],[Customer Account]],Customers[],3,0)</f>
        <v>Tennessee</v>
      </c>
      <c r="Q312" t="str">
        <f>VLOOKUP(Invoices[[#This Row],[Part  '#]],Products[],3,0)</f>
        <v>Consumables</v>
      </c>
      <c r="R312" s="25">
        <f>Invoices[[#This Row],[Quantity]]*Invoices[[#This Row],[Unit Cost]]</f>
        <v>366.4</v>
      </c>
      <c r="S312" s="25">
        <f>Invoices[[#This Row],[Quantity]]*Invoices[[#This Row],[New Unit Price]]</f>
        <v>1440</v>
      </c>
      <c r="T312" s="25">
        <f>Invoices[[#This Row],[Revenue]]-Invoices[[#This Row],[Cost]]</f>
        <v>1073.5999999999999</v>
      </c>
      <c r="U312" s="25" t="str">
        <f>TEXT(Invoices[[#This Row],[Date]],"MMM")</f>
        <v>Sep</v>
      </c>
      <c r="V312" s="29">
        <f>CHOOSE(MONTH(Invoices[[#This Row],[Date]]),1,1,1,2,2,2,3,3,3,4,4,4)</f>
        <v>3</v>
      </c>
      <c r="W312" s="30">
        <f>IFERROR(Invoices[[#This Row],[Profit]]/Invoices[[#This Row],[Revenue]],0)</f>
        <v>0.74555555555555553</v>
      </c>
    </row>
    <row r="313" spans="1:23" x14ac:dyDescent="0.3">
      <c r="A313" s="19" t="s">
        <v>5</v>
      </c>
      <c r="B313" s="9">
        <v>22900</v>
      </c>
      <c r="C313" s="15">
        <v>41518</v>
      </c>
      <c r="D313" s="9">
        <v>106</v>
      </c>
      <c r="E313" s="10" t="s">
        <v>69</v>
      </c>
      <c r="F313" s="8">
        <v>2</v>
      </c>
      <c r="G313" s="10"/>
      <c r="H313" s="4" t="s">
        <v>132</v>
      </c>
      <c r="I313" s="4" t="s">
        <v>49</v>
      </c>
      <c r="J313" s="4">
        <v>20</v>
      </c>
      <c r="K313" s="23">
        <v>70</v>
      </c>
      <c r="L313">
        <f>IF(Invoices[[#This Row],[Document Type]]="Return",Invoices[[#This Row],[Unit Price]]*-1,Invoices[[#This Row],[Unit Price]])</f>
        <v>70</v>
      </c>
      <c r="M313" t="str">
        <f>IF(Invoices[[#This Row],[New Unit Price]]&lt;0,"Return",
IF(Invoices[[#This Row],[New Unit Price]]=0,"Free",IF(Invoices[[#This Row],[New Unit Price]]&lt;100,"Basic","Premium")))</f>
        <v>Basic</v>
      </c>
      <c r="N313">
        <f>VLOOKUP(Invoices[[#This Row],[Part  '#]],Products[],4,0)</f>
        <v>13.92</v>
      </c>
      <c r="O313" t="str">
        <f>VLOOKUP(Invoices[[#This Row],[Customer Account]],Customers[],4,0)</f>
        <v>Automotive</v>
      </c>
      <c r="P313" t="str">
        <f>VLOOKUP(Invoices[[#This Row],[Customer Account]],Customers[],3,0)</f>
        <v>Tennessee</v>
      </c>
      <c r="Q313" t="str">
        <f>VLOOKUP(Invoices[[#This Row],[Part  '#]],Products[],3,0)</f>
        <v>Consumables</v>
      </c>
      <c r="R313" s="25">
        <f>Invoices[[#This Row],[Quantity]]*Invoices[[#This Row],[Unit Cost]]</f>
        <v>278.39999999999998</v>
      </c>
      <c r="S313" s="25">
        <f>Invoices[[#This Row],[Quantity]]*Invoices[[#This Row],[New Unit Price]]</f>
        <v>1400</v>
      </c>
      <c r="T313" s="25">
        <f>Invoices[[#This Row],[Revenue]]-Invoices[[#This Row],[Cost]]</f>
        <v>1121.5999999999999</v>
      </c>
      <c r="U313" s="25" t="str">
        <f>TEXT(Invoices[[#This Row],[Date]],"MMM")</f>
        <v>Sep</v>
      </c>
      <c r="V313" s="29">
        <f>CHOOSE(MONTH(Invoices[[#This Row],[Date]]),1,1,1,2,2,2,3,3,3,4,4,4)</f>
        <v>3</v>
      </c>
      <c r="W313" s="30">
        <f>IFERROR(Invoices[[#This Row],[Profit]]/Invoices[[#This Row],[Revenue]],0)</f>
        <v>0.80114285714285705</v>
      </c>
    </row>
    <row r="314" spans="1:23" x14ac:dyDescent="0.3">
      <c r="A314" s="19" t="s">
        <v>5</v>
      </c>
      <c r="B314" s="9">
        <v>22901</v>
      </c>
      <c r="C314" s="15">
        <v>41518</v>
      </c>
      <c r="D314" s="9">
        <v>107</v>
      </c>
      <c r="E314" s="10" t="s">
        <v>72</v>
      </c>
      <c r="F314" s="8">
        <v>1</v>
      </c>
      <c r="G314" s="10"/>
      <c r="H314" s="4" t="s">
        <v>125</v>
      </c>
      <c r="I314" s="4" t="s">
        <v>40</v>
      </c>
      <c r="J314" s="4">
        <v>10</v>
      </c>
      <c r="K314" s="23">
        <v>30</v>
      </c>
      <c r="L314">
        <f>IF(Invoices[[#This Row],[Document Type]]="Return",Invoices[[#This Row],[Unit Price]]*-1,Invoices[[#This Row],[Unit Price]])</f>
        <v>30</v>
      </c>
      <c r="M314" t="str">
        <f>IF(Invoices[[#This Row],[New Unit Price]]&lt;0,"Return",
IF(Invoices[[#This Row],[New Unit Price]]=0,"Free",IF(Invoices[[#This Row],[New Unit Price]]&lt;100,"Basic","Premium")))</f>
        <v>Basic</v>
      </c>
      <c r="N314">
        <f>VLOOKUP(Invoices[[#This Row],[Part  '#]],Products[],4,0)</f>
        <v>6.9</v>
      </c>
      <c r="O314" t="str">
        <f>VLOOKUP(Invoices[[#This Row],[Customer Account]],Customers[],4,0)</f>
        <v>Financial</v>
      </c>
      <c r="P314" t="str">
        <f>VLOOKUP(Invoices[[#This Row],[Customer Account]],Customers[],3,0)</f>
        <v>Georgia</v>
      </c>
      <c r="Q314" t="str">
        <f>VLOOKUP(Invoices[[#This Row],[Part  '#]],Products[],3,0)</f>
        <v>Consumables</v>
      </c>
      <c r="R314" s="25">
        <f>Invoices[[#This Row],[Quantity]]*Invoices[[#This Row],[Unit Cost]]</f>
        <v>69</v>
      </c>
      <c r="S314" s="25">
        <f>Invoices[[#This Row],[Quantity]]*Invoices[[#This Row],[New Unit Price]]</f>
        <v>300</v>
      </c>
      <c r="T314" s="25">
        <f>Invoices[[#This Row],[Revenue]]-Invoices[[#This Row],[Cost]]</f>
        <v>231</v>
      </c>
      <c r="U314" s="25" t="str">
        <f>TEXT(Invoices[[#This Row],[Date]],"MMM")</f>
        <v>Sep</v>
      </c>
      <c r="V314" s="29">
        <f>CHOOSE(MONTH(Invoices[[#This Row],[Date]]),1,1,1,2,2,2,3,3,3,4,4,4)</f>
        <v>3</v>
      </c>
      <c r="W314" s="30">
        <f>IFERROR(Invoices[[#This Row],[Profit]]/Invoices[[#This Row],[Revenue]],0)</f>
        <v>0.77</v>
      </c>
    </row>
    <row r="315" spans="1:23" x14ac:dyDescent="0.3">
      <c r="A315" s="19" t="s">
        <v>5</v>
      </c>
      <c r="B315" s="9">
        <v>22901</v>
      </c>
      <c r="C315" s="15">
        <v>41518</v>
      </c>
      <c r="D315" s="9">
        <v>107</v>
      </c>
      <c r="E315" s="10" t="s">
        <v>72</v>
      </c>
      <c r="F315" s="8">
        <v>2</v>
      </c>
      <c r="G315" s="10"/>
      <c r="H315" s="4" t="s">
        <v>132</v>
      </c>
      <c r="I315" s="4" t="s">
        <v>49</v>
      </c>
      <c r="J315" s="4">
        <v>2</v>
      </c>
      <c r="K315" s="23">
        <v>70</v>
      </c>
      <c r="L315">
        <f>IF(Invoices[[#This Row],[Document Type]]="Return",Invoices[[#This Row],[Unit Price]]*-1,Invoices[[#This Row],[Unit Price]])</f>
        <v>70</v>
      </c>
      <c r="M315" t="str">
        <f>IF(Invoices[[#This Row],[New Unit Price]]&lt;0,"Return",
IF(Invoices[[#This Row],[New Unit Price]]=0,"Free",IF(Invoices[[#This Row],[New Unit Price]]&lt;100,"Basic","Premium")))</f>
        <v>Basic</v>
      </c>
      <c r="N315">
        <f>VLOOKUP(Invoices[[#This Row],[Part  '#]],Products[],4,0)</f>
        <v>13.92</v>
      </c>
      <c r="O315" t="str">
        <f>VLOOKUP(Invoices[[#This Row],[Customer Account]],Customers[],4,0)</f>
        <v>Financial</v>
      </c>
      <c r="P315" t="str">
        <f>VLOOKUP(Invoices[[#This Row],[Customer Account]],Customers[],3,0)</f>
        <v>Georgia</v>
      </c>
      <c r="Q315" t="str">
        <f>VLOOKUP(Invoices[[#This Row],[Part  '#]],Products[],3,0)</f>
        <v>Consumables</v>
      </c>
      <c r="R315" s="25">
        <f>Invoices[[#This Row],[Quantity]]*Invoices[[#This Row],[Unit Cost]]</f>
        <v>27.84</v>
      </c>
      <c r="S315" s="25">
        <f>Invoices[[#This Row],[Quantity]]*Invoices[[#This Row],[New Unit Price]]</f>
        <v>140</v>
      </c>
      <c r="T315" s="25">
        <f>Invoices[[#This Row],[Revenue]]-Invoices[[#This Row],[Cost]]</f>
        <v>112.16</v>
      </c>
      <c r="U315" s="25" t="str">
        <f>TEXT(Invoices[[#This Row],[Date]],"MMM")</f>
        <v>Sep</v>
      </c>
      <c r="V315" s="29">
        <f>CHOOSE(MONTH(Invoices[[#This Row],[Date]]),1,1,1,2,2,2,3,3,3,4,4,4)</f>
        <v>3</v>
      </c>
      <c r="W315" s="30">
        <f>IFERROR(Invoices[[#This Row],[Profit]]/Invoices[[#This Row],[Revenue]],0)</f>
        <v>0.80114285714285716</v>
      </c>
    </row>
    <row r="316" spans="1:23" x14ac:dyDescent="0.3">
      <c r="A316" s="19" t="s">
        <v>5</v>
      </c>
      <c r="B316" s="9">
        <v>22902</v>
      </c>
      <c r="C316" s="15">
        <v>41518</v>
      </c>
      <c r="D316" s="9">
        <v>108</v>
      </c>
      <c r="E316" s="10" t="s">
        <v>73</v>
      </c>
      <c r="F316" s="8">
        <v>1</v>
      </c>
      <c r="G316" s="10"/>
      <c r="H316" s="4" t="s">
        <v>135</v>
      </c>
      <c r="I316" s="4" t="s">
        <v>52</v>
      </c>
      <c r="J316" s="4">
        <v>20</v>
      </c>
      <c r="K316" s="23">
        <v>100</v>
      </c>
      <c r="L316">
        <f>IF(Invoices[[#This Row],[Document Type]]="Return",Invoices[[#This Row],[Unit Price]]*-1,Invoices[[#This Row],[Unit Price]])</f>
        <v>100</v>
      </c>
      <c r="M316" t="str">
        <f>IF(Invoices[[#This Row],[New Unit Price]]&lt;0,"Return",
IF(Invoices[[#This Row],[New Unit Price]]=0,"Free",IF(Invoices[[#This Row],[New Unit Price]]&lt;100,"Basic","Premium")))</f>
        <v>Premium</v>
      </c>
      <c r="N316">
        <f>VLOOKUP(Invoices[[#This Row],[Part  '#]],Products[],4,0)</f>
        <v>27.17</v>
      </c>
      <c r="O316" t="str">
        <f>VLOOKUP(Invoices[[#This Row],[Customer Account]],Customers[],4,0)</f>
        <v>Financial</v>
      </c>
      <c r="P316" t="str">
        <f>VLOOKUP(Invoices[[#This Row],[Customer Account]],Customers[],3,0)</f>
        <v>Florida</v>
      </c>
      <c r="Q316" t="str">
        <f>VLOOKUP(Invoices[[#This Row],[Part  '#]],Products[],3,0)</f>
        <v>Consumables</v>
      </c>
      <c r="R316" s="25">
        <f>Invoices[[#This Row],[Quantity]]*Invoices[[#This Row],[Unit Cost]]</f>
        <v>543.40000000000009</v>
      </c>
      <c r="S316" s="25">
        <f>Invoices[[#This Row],[Quantity]]*Invoices[[#This Row],[New Unit Price]]</f>
        <v>2000</v>
      </c>
      <c r="T316" s="25">
        <f>Invoices[[#This Row],[Revenue]]-Invoices[[#This Row],[Cost]]</f>
        <v>1456.6</v>
      </c>
      <c r="U316" s="25" t="str">
        <f>TEXT(Invoices[[#This Row],[Date]],"MMM")</f>
        <v>Sep</v>
      </c>
      <c r="V316" s="29">
        <f>CHOOSE(MONTH(Invoices[[#This Row],[Date]]),1,1,1,2,2,2,3,3,3,4,4,4)</f>
        <v>3</v>
      </c>
      <c r="W316" s="30">
        <f>IFERROR(Invoices[[#This Row],[Profit]]/Invoices[[#This Row],[Revenue]],0)</f>
        <v>0.72829999999999995</v>
      </c>
    </row>
    <row r="317" spans="1:23" x14ac:dyDescent="0.3">
      <c r="A317" s="19" t="s">
        <v>5</v>
      </c>
      <c r="B317" s="9">
        <v>22902</v>
      </c>
      <c r="C317" s="15">
        <v>41518</v>
      </c>
      <c r="D317" s="9">
        <v>108</v>
      </c>
      <c r="E317" s="10" t="s">
        <v>73</v>
      </c>
      <c r="F317" s="8">
        <v>2</v>
      </c>
      <c r="G317" s="10"/>
      <c r="H317" s="4" t="s">
        <v>136</v>
      </c>
      <c r="I317" s="4" t="s">
        <v>53</v>
      </c>
      <c r="J317" s="4">
        <v>20</v>
      </c>
      <c r="K317" s="23">
        <v>140</v>
      </c>
      <c r="L317">
        <f>IF(Invoices[[#This Row],[Document Type]]="Return",Invoices[[#This Row],[Unit Price]]*-1,Invoices[[#This Row],[Unit Price]])</f>
        <v>140</v>
      </c>
      <c r="M317" t="str">
        <f>IF(Invoices[[#This Row],[New Unit Price]]&lt;0,"Return",
IF(Invoices[[#This Row],[New Unit Price]]=0,"Free",IF(Invoices[[#This Row],[New Unit Price]]&lt;100,"Basic","Premium")))</f>
        <v>Premium</v>
      </c>
      <c r="N317">
        <f>VLOOKUP(Invoices[[#This Row],[Part  '#]],Products[],4,0)</f>
        <v>34.299999999999997</v>
      </c>
      <c r="O317" t="str">
        <f>VLOOKUP(Invoices[[#This Row],[Customer Account]],Customers[],4,0)</f>
        <v>Financial</v>
      </c>
      <c r="P317" t="str">
        <f>VLOOKUP(Invoices[[#This Row],[Customer Account]],Customers[],3,0)</f>
        <v>Florida</v>
      </c>
      <c r="Q317" t="str">
        <f>VLOOKUP(Invoices[[#This Row],[Part  '#]],Products[],3,0)</f>
        <v>Consumables</v>
      </c>
      <c r="R317" s="25">
        <f>Invoices[[#This Row],[Quantity]]*Invoices[[#This Row],[Unit Cost]]</f>
        <v>686</v>
      </c>
      <c r="S317" s="25">
        <f>Invoices[[#This Row],[Quantity]]*Invoices[[#This Row],[New Unit Price]]</f>
        <v>2800</v>
      </c>
      <c r="T317" s="25">
        <f>Invoices[[#This Row],[Revenue]]-Invoices[[#This Row],[Cost]]</f>
        <v>2114</v>
      </c>
      <c r="U317" s="25" t="str">
        <f>TEXT(Invoices[[#This Row],[Date]],"MMM")</f>
        <v>Sep</v>
      </c>
      <c r="V317" s="29">
        <f>CHOOSE(MONTH(Invoices[[#This Row],[Date]]),1,1,1,2,2,2,3,3,3,4,4,4)</f>
        <v>3</v>
      </c>
      <c r="W317" s="30">
        <f>IFERROR(Invoices[[#This Row],[Profit]]/Invoices[[#This Row],[Revenue]],0)</f>
        <v>0.755</v>
      </c>
    </row>
    <row r="318" spans="1:23" x14ac:dyDescent="0.3">
      <c r="A318" s="19" t="s">
        <v>5</v>
      </c>
      <c r="B318" s="9">
        <v>22902</v>
      </c>
      <c r="C318" s="15">
        <v>41518</v>
      </c>
      <c r="D318" s="9">
        <v>108</v>
      </c>
      <c r="E318" s="10" t="s">
        <v>73</v>
      </c>
      <c r="F318" s="8">
        <v>3</v>
      </c>
      <c r="G318" s="10"/>
      <c r="H318" s="4" t="s">
        <v>130</v>
      </c>
      <c r="I318" s="4" t="s">
        <v>47</v>
      </c>
      <c r="J318" s="4">
        <v>100</v>
      </c>
      <c r="K318" s="23">
        <v>19.200000000000003</v>
      </c>
      <c r="L318">
        <f>IF(Invoices[[#This Row],[Document Type]]="Return",Invoices[[#This Row],[Unit Price]]*-1,Invoices[[#This Row],[Unit Price]])</f>
        <v>19.200000000000003</v>
      </c>
      <c r="M318" t="str">
        <f>IF(Invoices[[#This Row],[New Unit Price]]&lt;0,"Return",
IF(Invoices[[#This Row],[New Unit Price]]=0,"Free",IF(Invoices[[#This Row],[New Unit Price]]&lt;100,"Basic","Premium")))</f>
        <v>Basic</v>
      </c>
      <c r="N318">
        <f>VLOOKUP(Invoices[[#This Row],[Part  '#]],Products[],4,0)</f>
        <v>7.09</v>
      </c>
      <c r="O318" t="str">
        <f>VLOOKUP(Invoices[[#This Row],[Customer Account]],Customers[],4,0)</f>
        <v>Financial</v>
      </c>
      <c r="P318" t="str">
        <f>VLOOKUP(Invoices[[#This Row],[Customer Account]],Customers[],3,0)</f>
        <v>Florida</v>
      </c>
      <c r="Q318" t="str">
        <f>VLOOKUP(Invoices[[#This Row],[Part  '#]],Products[],3,0)</f>
        <v>Consumables</v>
      </c>
      <c r="R318" s="25">
        <f>Invoices[[#This Row],[Quantity]]*Invoices[[#This Row],[Unit Cost]]</f>
        <v>709</v>
      </c>
      <c r="S318" s="25">
        <f>Invoices[[#This Row],[Quantity]]*Invoices[[#This Row],[New Unit Price]]</f>
        <v>1920.0000000000002</v>
      </c>
      <c r="T318" s="25">
        <f>Invoices[[#This Row],[Revenue]]-Invoices[[#This Row],[Cost]]</f>
        <v>1211.0000000000002</v>
      </c>
      <c r="U318" s="25" t="str">
        <f>TEXT(Invoices[[#This Row],[Date]],"MMM")</f>
        <v>Sep</v>
      </c>
      <c r="V318" s="29">
        <f>CHOOSE(MONTH(Invoices[[#This Row],[Date]]),1,1,1,2,2,2,3,3,3,4,4,4)</f>
        <v>3</v>
      </c>
      <c r="W318" s="30">
        <f>IFERROR(Invoices[[#This Row],[Profit]]/Invoices[[#This Row],[Revenue]],0)</f>
        <v>0.63072916666666667</v>
      </c>
    </row>
    <row r="319" spans="1:23" x14ac:dyDescent="0.3">
      <c r="A319" s="19" t="s">
        <v>5</v>
      </c>
      <c r="B319" s="9">
        <v>22903</v>
      </c>
      <c r="C319" s="15">
        <v>41518</v>
      </c>
      <c r="D319" s="9">
        <v>112</v>
      </c>
      <c r="E319" s="10" t="s">
        <v>80</v>
      </c>
      <c r="F319" s="8">
        <v>1</v>
      </c>
      <c r="G319" s="10"/>
      <c r="H319" s="4" t="s">
        <v>132</v>
      </c>
      <c r="I319" s="4" t="s">
        <v>49</v>
      </c>
      <c r="J319" s="4">
        <v>5</v>
      </c>
      <c r="K319" s="23">
        <v>70</v>
      </c>
      <c r="L319">
        <f>IF(Invoices[[#This Row],[Document Type]]="Return",Invoices[[#This Row],[Unit Price]]*-1,Invoices[[#This Row],[Unit Price]])</f>
        <v>70</v>
      </c>
      <c r="M319" t="str">
        <f>IF(Invoices[[#This Row],[New Unit Price]]&lt;0,"Return",
IF(Invoices[[#This Row],[New Unit Price]]=0,"Free",IF(Invoices[[#This Row],[New Unit Price]]&lt;100,"Basic","Premium")))</f>
        <v>Basic</v>
      </c>
      <c r="N319">
        <f>VLOOKUP(Invoices[[#This Row],[Part  '#]],Products[],4,0)</f>
        <v>13.92</v>
      </c>
      <c r="O319" t="str">
        <f>VLOOKUP(Invoices[[#This Row],[Customer Account]],Customers[],4,0)</f>
        <v>Financial</v>
      </c>
      <c r="P319" t="str">
        <f>VLOOKUP(Invoices[[#This Row],[Customer Account]],Customers[],3,0)</f>
        <v>Georgia</v>
      </c>
      <c r="Q319" t="str">
        <f>VLOOKUP(Invoices[[#This Row],[Part  '#]],Products[],3,0)</f>
        <v>Consumables</v>
      </c>
      <c r="R319" s="25">
        <f>Invoices[[#This Row],[Quantity]]*Invoices[[#This Row],[Unit Cost]]</f>
        <v>69.599999999999994</v>
      </c>
      <c r="S319" s="25">
        <f>Invoices[[#This Row],[Quantity]]*Invoices[[#This Row],[New Unit Price]]</f>
        <v>350</v>
      </c>
      <c r="T319" s="25">
        <f>Invoices[[#This Row],[Revenue]]-Invoices[[#This Row],[Cost]]</f>
        <v>280.39999999999998</v>
      </c>
      <c r="U319" s="25" t="str">
        <f>TEXT(Invoices[[#This Row],[Date]],"MMM")</f>
        <v>Sep</v>
      </c>
      <c r="V319" s="29">
        <f>CHOOSE(MONTH(Invoices[[#This Row],[Date]]),1,1,1,2,2,2,3,3,3,4,4,4)</f>
        <v>3</v>
      </c>
      <c r="W319" s="30">
        <f>IFERROR(Invoices[[#This Row],[Profit]]/Invoices[[#This Row],[Revenue]],0)</f>
        <v>0.80114285714285705</v>
      </c>
    </row>
    <row r="320" spans="1:23" x14ac:dyDescent="0.3">
      <c r="A320" s="19" t="s">
        <v>5</v>
      </c>
      <c r="B320" s="9">
        <v>22903</v>
      </c>
      <c r="C320" s="15">
        <v>41518</v>
      </c>
      <c r="D320" s="9">
        <v>112</v>
      </c>
      <c r="E320" s="10" t="s">
        <v>80</v>
      </c>
      <c r="F320" s="8">
        <v>2</v>
      </c>
      <c r="G320" s="10"/>
      <c r="H320" s="4" t="s">
        <v>125</v>
      </c>
      <c r="I320" s="4" t="s">
        <v>40</v>
      </c>
      <c r="J320" s="4">
        <v>5</v>
      </c>
      <c r="K320" s="23">
        <v>30</v>
      </c>
      <c r="L320">
        <f>IF(Invoices[[#This Row],[Document Type]]="Return",Invoices[[#This Row],[Unit Price]]*-1,Invoices[[#This Row],[Unit Price]])</f>
        <v>30</v>
      </c>
      <c r="M320" t="str">
        <f>IF(Invoices[[#This Row],[New Unit Price]]&lt;0,"Return",
IF(Invoices[[#This Row],[New Unit Price]]=0,"Free",IF(Invoices[[#This Row],[New Unit Price]]&lt;100,"Basic","Premium")))</f>
        <v>Basic</v>
      </c>
      <c r="N320">
        <f>VLOOKUP(Invoices[[#This Row],[Part  '#]],Products[],4,0)</f>
        <v>6.9</v>
      </c>
      <c r="O320" t="str">
        <f>VLOOKUP(Invoices[[#This Row],[Customer Account]],Customers[],4,0)</f>
        <v>Financial</v>
      </c>
      <c r="P320" t="str">
        <f>VLOOKUP(Invoices[[#This Row],[Customer Account]],Customers[],3,0)</f>
        <v>Georgia</v>
      </c>
      <c r="Q320" t="str">
        <f>VLOOKUP(Invoices[[#This Row],[Part  '#]],Products[],3,0)</f>
        <v>Consumables</v>
      </c>
      <c r="R320" s="25">
        <f>Invoices[[#This Row],[Quantity]]*Invoices[[#This Row],[Unit Cost]]</f>
        <v>34.5</v>
      </c>
      <c r="S320" s="25">
        <f>Invoices[[#This Row],[Quantity]]*Invoices[[#This Row],[New Unit Price]]</f>
        <v>150</v>
      </c>
      <c r="T320" s="25">
        <f>Invoices[[#This Row],[Revenue]]-Invoices[[#This Row],[Cost]]</f>
        <v>115.5</v>
      </c>
      <c r="U320" s="25" t="str">
        <f>TEXT(Invoices[[#This Row],[Date]],"MMM")</f>
        <v>Sep</v>
      </c>
      <c r="V320" s="29">
        <f>CHOOSE(MONTH(Invoices[[#This Row],[Date]]),1,1,1,2,2,2,3,3,3,4,4,4)</f>
        <v>3</v>
      </c>
      <c r="W320" s="30">
        <f>IFERROR(Invoices[[#This Row],[Profit]]/Invoices[[#This Row],[Revenue]],0)</f>
        <v>0.77</v>
      </c>
    </row>
    <row r="321" spans="1:23" x14ac:dyDescent="0.3">
      <c r="A321" s="19" t="s">
        <v>5</v>
      </c>
      <c r="B321" s="9">
        <v>22903</v>
      </c>
      <c r="C321" s="15">
        <v>41518</v>
      </c>
      <c r="D321" s="9">
        <v>112</v>
      </c>
      <c r="E321" s="10" t="s">
        <v>80</v>
      </c>
      <c r="F321" s="8">
        <v>3</v>
      </c>
      <c r="G321" s="10"/>
      <c r="H321" s="4" t="s">
        <v>120</v>
      </c>
      <c r="I321" s="4" t="s">
        <v>54</v>
      </c>
      <c r="J321" s="4">
        <v>1</v>
      </c>
      <c r="K321" s="23">
        <v>250</v>
      </c>
      <c r="L321">
        <f>IF(Invoices[[#This Row],[Document Type]]="Return",Invoices[[#This Row],[Unit Price]]*-1,Invoices[[#This Row],[Unit Price]])</f>
        <v>250</v>
      </c>
      <c r="M321" t="str">
        <f>IF(Invoices[[#This Row],[New Unit Price]]&lt;0,"Return",
IF(Invoices[[#This Row],[New Unit Price]]=0,"Free",IF(Invoices[[#This Row],[New Unit Price]]&lt;100,"Basic","Premium")))</f>
        <v>Premium</v>
      </c>
      <c r="N321">
        <f>VLOOKUP(Invoices[[#This Row],[Part  '#]],Products[],4,0)</f>
        <v>89.7</v>
      </c>
      <c r="O321" t="str">
        <f>VLOOKUP(Invoices[[#This Row],[Customer Account]],Customers[],4,0)</f>
        <v>Financial</v>
      </c>
      <c r="P321" t="str">
        <f>VLOOKUP(Invoices[[#This Row],[Customer Account]],Customers[],3,0)</f>
        <v>Georgia</v>
      </c>
      <c r="Q321" t="str">
        <f>VLOOKUP(Invoices[[#This Row],[Part  '#]],Products[],3,0)</f>
        <v>Accessories</v>
      </c>
      <c r="R321" s="25">
        <f>Invoices[[#This Row],[Quantity]]*Invoices[[#This Row],[Unit Cost]]</f>
        <v>89.7</v>
      </c>
      <c r="S321" s="25">
        <f>Invoices[[#This Row],[Quantity]]*Invoices[[#This Row],[New Unit Price]]</f>
        <v>250</v>
      </c>
      <c r="T321" s="25">
        <f>Invoices[[#This Row],[Revenue]]-Invoices[[#This Row],[Cost]]</f>
        <v>160.30000000000001</v>
      </c>
      <c r="U321" s="25" t="str">
        <f>TEXT(Invoices[[#This Row],[Date]],"MMM")</f>
        <v>Sep</v>
      </c>
      <c r="V321" s="29">
        <f>CHOOSE(MONTH(Invoices[[#This Row],[Date]]),1,1,1,2,2,2,3,3,3,4,4,4)</f>
        <v>3</v>
      </c>
      <c r="W321" s="30">
        <f>IFERROR(Invoices[[#This Row],[Profit]]/Invoices[[#This Row],[Revenue]],0)</f>
        <v>0.64119999999999999</v>
      </c>
    </row>
    <row r="322" spans="1:23" x14ac:dyDescent="0.3">
      <c r="A322" s="19" t="s">
        <v>5</v>
      </c>
      <c r="B322" s="9">
        <v>22904</v>
      </c>
      <c r="C322" s="15">
        <v>41518</v>
      </c>
      <c r="D322" s="9">
        <v>113</v>
      </c>
      <c r="E322" s="10" t="s">
        <v>81</v>
      </c>
      <c r="F322" s="8">
        <v>1</v>
      </c>
      <c r="G322" s="10"/>
      <c r="H322" s="4" t="s">
        <v>125</v>
      </c>
      <c r="I322" s="4" t="s">
        <v>40</v>
      </c>
      <c r="J322" s="4">
        <v>250</v>
      </c>
      <c r="K322" s="23">
        <v>24</v>
      </c>
      <c r="L322">
        <f>IF(Invoices[[#This Row],[Document Type]]="Return",Invoices[[#This Row],[Unit Price]]*-1,Invoices[[#This Row],[Unit Price]])</f>
        <v>24</v>
      </c>
      <c r="M322" t="str">
        <f>IF(Invoices[[#This Row],[New Unit Price]]&lt;0,"Return",
IF(Invoices[[#This Row],[New Unit Price]]=0,"Free",IF(Invoices[[#This Row],[New Unit Price]]&lt;100,"Basic","Premium")))</f>
        <v>Basic</v>
      </c>
      <c r="N322">
        <f>VLOOKUP(Invoices[[#This Row],[Part  '#]],Products[],4,0)</f>
        <v>6.9</v>
      </c>
      <c r="O322" t="str">
        <f>VLOOKUP(Invoices[[#This Row],[Customer Account]],Customers[],4,0)</f>
        <v>Financial</v>
      </c>
      <c r="P322" t="str">
        <f>VLOOKUP(Invoices[[#This Row],[Customer Account]],Customers[],3,0)</f>
        <v>Georgia</v>
      </c>
      <c r="Q322" t="str">
        <f>VLOOKUP(Invoices[[#This Row],[Part  '#]],Products[],3,0)</f>
        <v>Consumables</v>
      </c>
      <c r="R322" s="25">
        <f>Invoices[[#This Row],[Quantity]]*Invoices[[#This Row],[Unit Cost]]</f>
        <v>1725</v>
      </c>
      <c r="S322" s="25">
        <f>Invoices[[#This Row],[Quantity]]*Invoices[[#This Row],[New Unit Price]]</f>
        <v>6000</v>
      </c>
      <c r="T322" s="25">
        <f>Invoices[[#This Row],[Revenue]]-Invoices[[#This Row],[Cost]]</f>
        <v>4275</v>
      </c>
      <c r="U322" s="25" t="str">
        <f>TEXT(Invoices[[#This Row],[Date]],"MMM")</f>
        <v>Sep</v>
      </c>
      <c r="V322" s="29">
        <f>CHOOSE(MONTH(Invoices[[#This Row],[Date]]),1,1,1,2,2,2,3,3,3,4,4,4)</f>
        <v>3</v>
      </c>
      <c r="W322" s="30">
        <f>IFERROR(Invoices[[#This Row],[Profit]]/Invoices[[#This Row],[Revenue]],0)</f>
        <v>0.71250000000000002</v>
      </c>
    </row>
    <row r="323" spans="1:23" x14ac:dyDescent="0.3">
      <c r="A323" s="19" t="s">
        <v>5</v>
      </c>
      <c r="B323" s="9">
        <v>22904</v>
      </c>
      <c r="C323" s="15">
        <v>41518</v>
      </c>
      <c r="D323" s="9">
        <v>113</v>
      </c>
      <c r="E323" s="10" t="s">
        <v>81</v>
      </c>
      <c r="F323" s="8">
        <v>2</v>
      </c>
      <c r="G323" s="10"/>
      <c r="H323" s="4" t="s">
        <v>132</v>
      </c>
      <c r="I323" s="4" t="s">
        <v>49</v>
      </c>
      <c r="J323" s="4">
        <v>50</v>
      </c>
      <c r="K323" s="23">
        <v>70</v>
      </c>
      <c r="L323">
        <f>IF(Invoices[[#This Row],[Document Type]]="Return",Invoices[[#This Row],[Unit Price]]*-1,Invoices[[#This Row],[Unit Price]])</f>
        <v>70</v>
      </c>
      <c r="M323" t="str">
        <f>IF(Invoices[[#This Row],[New Unit Price]]&lt;0,"Return",
IF(Invoices[[#This Row],[New Unit Price]]=0,"Free",IF(Invoices[[#This Row],[New Unit Price]]&lt;100,"Basic","Premium")))</f>
        <v>Basic</v>
      </c>
      <c r="N323">
        <f>VLOOKUP(Invoices[[#This Row],[Part  '#]],Products[],4,0)</f>
        <v>13.92</v>
      </c>
      <c r="O323" t="str">
        <f>VLOOKUP(Invoices[[#This Row],[Customer Account]],Customers[],4,0)</f>
        <v>Financial</v>
      </c>
      <c r="P323" t="str">
        <f>VLOOKUP(Invoices[[#This Row],[Customer Account]],Customers[],3,0)</f>
        <v>Georgia</v>
      </c>
      <c r="Q323" t="str">
        <f>VLOOKUP(Invoices[[#This Row],[Part  '#]],Products[],3,0)</f>
        <v>Consumables</v>
      </c>
      <c r="R323" s="25">
        <f>Invoices[[#This Row],[Quantity]]*Invoices[[#This Row],[Unit Cost]]</f>
        <v>696</v>
      </c>
      <c r="S323" s="25">
        <f>Invoices[[#This Row],[Quantity]]*Invoices[[#This Row],[New Unit Price]]</f>
        <v>3500</v>
      </c>
      <c r="T323" s="25">
        <f>Invoices[[#This Row],[Revenue]]-Invoices[[#This Row],[Cost]]</f>
        <v>2804</v>
      </c>
      <c r="U323" s="25" t="str">
        <f>TEXT(Invoices[[#This Row],[Date]],"MMM")</f>
        <v>Sep</v>
      </c>
      <c r="V323" s="29">
        <f>CHOOSE(MONTH(Invoices[[#This Row],[Date]]),1,1,1,2,2,2,3,3,3,4,4,4)</f>
        <v>3</v>
      </c>
      <c r="W323" s="30">
        <f>IFERROR(Invoices[[#This Row],[Profit]]/Invoices[[#This Row],[Revenue]],0)</f>
        <v>0.80114285714285716</v>
      </c>
    </row>
    <row r="324" spans="1:23" x14ac:dyDescent="0.3">
      <c r="A324" s="19" t="s">
        <v>5</v>
      </c>
      <c r="B324" s="9">
        <v>22905</v>
      </c>
      <c r="C324" s="15">
        <v>41518</v>
      </c>
      <c r="D324" s="9">
        <v>114</v>
      </c>
      <c r="E324" s="10" t="s">
        <v>82</v>
      </c>
      <c r="F324" s="8">
        <v>1</v>
      </c>
      <c r="G324" s="10"/>
      <c r="H324" s="4" t="s">
        <v>135</v>
      </c>
      <c r="I324" s="4" t="s">
        <v>52</v>
      </c>
      <c r="J324" s="4">
        <v>8</v>
      </c>
      <c r="K324" s="23">
        <v>100</v>
      </c>
      <c r="L324">
        <f>IF(Invoices[[#This Row],[Document Type]]="Return",Invoices[[#This Row],[Unit Price]]*-1,Invoices[[#This Row],[Unit Price]])</f>
        <v>100</v>
      </c>
      <c r="M324" t="str">
        <f>IF(Invoices[[#This Row],[New Unit Price]]&lt;0,"Return",
IF(Invoices[[#This Row],[New Unit Price]]=0,"Free",IF(Invoices[[#This Row],[New Unit Price]]&lt;100,"Basic","Premium")))</f>
        <v>Premium</v>
      </c>
      <c r="N324">
        <f>VLOOKUP(Invoices[[#This Row],[Part  '#]],Products[],4,0)</f>
        <v>27.17</v>
      </c>
      <c r="O324" t="str">
        <f>VLOOKUP(Invoices[[#This Row],[Customer Account]],Customers[],4,0)</f>
        <v>Automotive</v>
      </c>
      <c r="P324" t="str">
        <f>VLOOKUP(Invoices[[#This Row],[Customer Account]],Customers[],3,0)</f>
        <v>North Carolina</v>
      </c>
      <c r="Q324" t="str">
        <f>VLOOKUP(Invoices[[#This Row],[Part  '#]],Products[],3,0)</f>
        <v>Consumables</v>
      </c>
      <c r="R324" s="25">
        <f>Invoices[[#This Row],[Quantity]]*Invoices[[#This Row],[Unit Cost]]</f>
        <v>217.36</v>
      </c>
      <c r="S324" s="25">
        <f>Invoices[[#This Row],[Quantity]]*Invoices[[#This Row],[New Unit Price]]</f>
        <v>800</v>
      </c>
      <c r="T324" s="25">
        <f>Invoices[[#This Row],[Revenue]]-Invoices[[#This Row],[Cost]]</f>
        <v>582.64</v>
      </c>
      <c r="U324" s="25" t="str">
        <f>TEXT(Invoices[[#This Row],[Date]],"MMM")</f>
        <v>Sep</v>
      </c>
      <c r="V324" s="29">
        <f>CHOOSE(MONTH(Invoices[[#This Row],[Date]]),1,1,1,2,2,2,3,3,3,4,4,4)</f>
        <v>3</v>
      </c>
      <c r="W324" s="30">
        <f>IFERROR(Invoices[[#This Row],[Profit]]/Invoices[[#This Row],[Revenue]],0)</f>
        <v>0.72829999999999995</v>
      </c>
    </row>
    <row r="325" spans="1:23" x14ac:dyDescent="0.3">
      <c r="A325" s="19" t="s">
        <v>5</v>
      </c>
      <c r="B325" s="9">
        <v>22905</v>
      </c>
      <c r="C325" s="15">
        <v>41518</v>
      </c>
      <c r="D325" s="9">
        <v>114</v>
      </c>
      <c r="E325" s="10" t="s">
        <v>82</v>
      </c>
      <c r="F325" s="8">
        <v>2</v>
      </c>
      <c r="G325" s="10"/>
      <c r="H325" s="4" t="s">
        <v>136</v>
      </c>
      <c r="I325" s="4" t="s">
        <v>53</v>
      </c>
      <c r="J325" s="4">
        <v>6</v>
      </c>
      <c r="K325" s="23">
        <v>140</v>
      </c>
      <c r="L325">
        <f>IF(Invoices[[#This Row],[Document Type]]="Return",Invoices[[#This Row],[Unit Price]]*-1,Invoices[[#This Row],[Unit Price]])</f>
        <v>140</v>
      </c>
      <c r="M325" t="str">
        <f>IF(Invoices[[#This Row],[New Unit Price]]&lt;0,"Return",
IF(Invoices[[#This Row],[New Unit Price]]=0,"Free",IF(Invoices[[#This Row],[New Unit Price]]&lt;100,"Basic","Premium")))</f>
        <v>Premium</v>
      </c>
      <c r="N325">
        <f>VLOOKUP(Invoices[[#This Row],[Part  '#]],Products[],4,0)</f>
        <v>34.299999999999997</v>
      </c>
      <c r="O325" t="str">
        <f>VLOOKUP(Invoices[[#This Row],[Customer Account]],Customers[],4,0)</f>
        <v>Automotive</v>
      </c>
      <c r="P325" t="str">
        <f>VLOOKUP(Invoices[[#This Row],[Customer Account]],Customers[],3,0)</f>
        <v>North Carolina</v>
      </c>
      <c r="Q325" t="str">
        <f>VLOOKUP(Invoices[[#This Row],[Part  '#]],Products[],3,0)</f>
        <v>Consumables</v>
      </c>
      <c r="R325" s="25">
        <f>Invoices[[#This Row],[Quantity]]*Invoices[[#This Row],[Unit Cost]]</f>
        <v>205.79999999999998</v>
      </c>
      <c r="S325" s="25">
        <f>Invoices[[#This Row],[Quantity]]*Invoices[[#This Row],[New Unit Price]]</f>
        <v>840</v>
      </c>
      <c r="T325" s="25">
        <f>Invoices[[#This Row],[Revenue]]-Invoices[[#This Row],[Cost]]</f>
        <v>634.20000000000005</v>
      </c>
      <c r="U325" s="25" t="str">
        <f>TEXT(Invoices[[#This Row],[Date]],"MMM")</f>
        <v>Sep</v>
      </c>
      <c r="V325" s="29">
        <f>CHOOSE(MONTH(Invoices[[#This Row],[Date]]),1,1,1,2,2,2,3,3,3,4,4,4)</f>
        <v>3</v>
      </c>
      <c r="W325" s="30">
        <f>IFERROR(Invoices[[#This Row],[Profit]]/Invoices[[#This Row],[Revenue]],0)</f>
        <v>0.755</v>
      </c>
    </row>
    <row r="326" spans="1:23" x14ac:dyDescent="0.3">
      <c r="A326" s="19" t="s">
        <v>5</v>
      </c>
      <c r="B326" s="9">
        <v>22905</v>
      </c>
      <c r="C326" s="15">
        <v>41518</v>
      </c>
      <c r="D326" s="9">
        <v>114</v>
      </c>
      <c r="E326" s="10" t="s">
        <v>82</v>
      </c>
      <c r="F326" s="8">
        <v>3</v>
      </c>
      <c r="G326" s="10"/>
      <c r="H326" s="4" t="s">
        <v>128</v>
      </c>
      <c r="I326" s="4" t="s">
        <v>45</v>
      </c>
      <c r="J326" s="4">
        <v>15</v>
      </c>
      <c r="K326" s="23">
        <v>25</v>
      </c>
      <c r="L326">
        <f>IF(Invoices[[#This Row],[Document Type]]="Return",Invoices[[#This Row],[Unit Price]]*-1,Invoices[[#This Row],[Unit Price]])</f>
        <v>25</v>
      </c>
      <c r="M326" t="str">
        <f>IF(Invoices[[#This Row],[New Unit Price]]&lt;0,"Return",
IF(Invoices[[#This Row],[New Unit Price]]=0,"Free",IF(Invoices[[#This Row],[New Unit Price]]&lt;100,"Basic","Premium")))</f>
        <v>Basic</v>
      </c>
      <c r="N326">
        <f>VLOOKUP(Invoices[[#This Row],[Part  '#]],Products[],4,0)</f>
        <v>5.16</v>
      </c>
      <c r="O326" t="str">
        <f>VLOOKUP(Invoices[[#This Row],[Customer Account]],Customers[],4,0)</f>
        <v>Automotive</v>
      </c>
      <c r="P326" t="str">
        <f>VLOOKUP(Invoices[[#This Row],[Customer Account]],Customers[],3,0)</f>
        <v>North Carolina</v>
      </c>
      <c r="Q326" t="str">
        <f>VLOOKUP(Invoices[[#This Row],[Part  '#]],Products[],3,0)</f>
        <v>Consumables</v>
      </c>
      <c r="R326" s="25">
        <f>Invoices[[#This Row],[Quantity]]*Invoices[[#This Row],[Unit Cost]]</f>
        <v>77.400000000000006</v>
      </c>
      <c r="S326" s="25">
        <f>Invoices[[#This Row],[Quantity]]*Invoices[[#This Row],[New Unit Price]]</f>
        <v>375</v>
      </c>
      <c r="T326" s="25">
        <f>Invoices[[#This Row],[Revenue]]-Invoices[[#This Row],[Cost]]</f>
        <v>297.60000000000002</v>
      </c>
      <c r="U326" s="25" t="str">
        <f>TEXT(Invoices[[#This Row],[Date]],"MMM")</f>
        <v>Sep</v>
      </c>
      <c r="V326" s="29">
        <f>CHOOSE(MONTH(Invoices[[#This Row],[Date]]),1,1,1,2,2,2,3,3,3,4,4,4)</f>
        <v>3</v>
      </c>
      <c r="W326" s="30">
        <f>IFERROR(Invoices[[#This Row],[Profit]]/Invoices[[#This Row],[Revenue]],0)</f>
        <v>0.79360000000000008</v>
      </c>
    </row>
    <row r="327" spans="1:23" x14ac:dyDescent="0.3">
      <c r="A327" s="19" t="s">
        <v>5</v>
      </c>
      <c r="B327" s="9">
        <v>22905</v>
      </c>
      <c r="C327" s="15">
        <v>41518</v>
      </c>
      <c r="D327" s="9">
        <v>114</v>
      </c>
      <c r="E327" s="10" t="s">
        <v>82</v>
      </c>
      <c r="F327" s="8">
        <v>4</v>
      </c>
      <c r="G327" s="10"/>
      <c r="H327" s="4" t="s">
        <v>130</v>
      </c>
      <c r="I327" s="4" t="s">
        <v>47</v>
      </c>
      <c r="J327" s="4">
        <v>22</v>
      </c>
      <c r="K327" s="23">
        <v>24</v>
      </c>
      <c r="L327">
        <f>IF(Invoices[[#This Row],[Document Type]]="Return",Invoices[[#This Row],[Unit Price]]*-1,Invoices[[#This Row],[Unit Price]])</f>
        <v>24</v>
      </c>
      <c r="M327" t="str">
        <f>IF(Invoices[[#This Row],[New Unit Price]]&lt;0,"Return",
IF(Invoices[[#This Row],[New Unit Price]]=0,"Free",IF(Invoices[[#This Row],[New Unit Price]]&lt;100,"Basic","Premium")))</f>
        <v>Basic</v>
      </c>
      <c r="N327">
        <f>VLOOKUP(Invoices[[#This Row],[Part  '#]],Products[],4,0)</f>
        <v>7.09</v>
      </c>
      <c r="O327" t="str">
        <f>VLOOKUP(Invoices[[#This Row],[Customer Account]],Customers[],4,0)</f>
        <v>Automotive</v>
      </c>
      <c r="P327" t="str">
        <f>VLOOKUP(Invoices[[#This Row],[Customer Account]],Customers[],3,0)</f>
        <v>North Carolina</v>
      </c>
      <c r="Q327" t="str">
        <f>VLOOKUP(Invoices[[#This Row],[Part  '#]],Products[],3,0)</f>
        <v>Consumables</v>
      </c>
      <c r="R327" s="25">
        <f>Invoices[[#This Row],[Quantity]]*Invoices[[#This Row],[Unit Cost]]</f>
        <v>155.97999999999999</v>
      </c>
      <c r="S327" s="25">
        <f>Invoices[[#This Row],[Quantity]]*Invoices[[#This Row],[New Unit Price]]</f>
        <v>528</v>
      </c>
      <c r="T327" s="25">
        <f>Invoices[[#This Row],[Revenue]]-Invoices[[#This Row],[Cost]]</f>
        <v>372.02</v>
      </c>
      <c r="U327" s="25" t="str">
        <f>TEXT(Invoices[[#This Row],[Date]],"MMM")</f>
        <v>Sep</v>
      </c>
      <c r="V327" s="29">
        <f>CHOOSE(MONTH(Invoices[[#This Row],[Date]]),1,1,1,2,2,2,3,3,3,4,4,4)</f>
        <v>3</v>
      </c>
      <c r="W327" s="30">
        <f>IFERROR(Invoices[[#This Row],[Profit]]/Invoices[[#This Row],[Revenue]],0)</f>
        <v>0.70458333333333334</v>
      </c>
    </row>
    <row r="328" spans="1:23" x14ac:dyDescent="0.3">
      <c r="A328" s="19" t="s">
        <v>5</v>
      </c>
      <c r="B328" s="9">
        <v>22906</v>
      </c>
      <c r="C328" s="15">
        <v>41518</v>
      </c>
      <c r="D328" s="9">
        <v>116</v>
      </c>
      <c r="E328" s="10" t="s">
        <v>84</v>
      </c>
      <c r="F328" s="8">
        <v>1</v>
      </c>
      <c r="G328" s="10"/>
      <c r="H328" s="4" t="s">
        <v>125</v>
      </c>
      <c r="I328" s="4" t="s">
        <v>40</v>
      </c>
      <c r="J328" s="4">
        <v>50</v>
      </c>
      <c r="K328" s="23">
        <v>30</v>
      </c>
      <c r="L328">
        <f>IF(Invoices[[#This Row],[Document Type]]="Return",Invoices[[#This Row],[Unit Price]]*-1,Invoices[[#This Row],[Unit Price]])</f>
        <v>30</v>
      </c>
      <c r="M328" t="str">
        <f>IF(Invoices[[#This Row],[New Unit Price]]&lt;0,"Return",
IF(Invoices[[#This Row],[New Unit Price]]=0,"Free",IF(Invoices[[#This Row],[New Unit Price]]&lt;100,"Basic","Premium")))</f>
        <v>Basic</v>
      </c>
      <c r="N328">
        <f>VLOOKUP(Invoices[[#This Row],[Part  '#]],Products[],4,0)</f>
        <v>6.9</v>
      </c>
      <c r="O328" t="str">
        <f>VLOOKUP(Invoices[[#This Row],[Customer Account]],Customers[],4,0)</f>
        <v>Automotive</v>
      </c>
      <c r="P328" t="str">
        <f>VLOOKUP(Invoices[[#This Row],[Customer Account]],Customers[],3,0)</f>
        <v>Tennessee</v>
      </c>
      <c r="Q328" t="str">
        <f>VLOOKUP(Invoices[[#This Row],[Part  '#]],Products[],3,0)</f>
        <v>Consumables</v>
      </c>
      <c r="R328" s="25">
        <f>Invoices[[#This Row],[Quantity]]*Invoices[[#This Row],[Unit Cost]]</f>
        <v>345</v>
      </c>
      <c r="S328" s="25">
        <f>Invoices[[#This Row],[Quantity]]*Invoices[[#This Row],[New Unit Price]]</f>
        <v>1500</v>
      </c>
      <c r="T328" s="25">
        <f>Invoices[[#This Row],[Revenue]]-Invoices[[#This Row],[Cost]]</f>
        <v>1155</v>
      </c>
      <c r="U328" s="25" t="str">
        <f>TEXT(Invoices[[#This Row],[Date]],"MMM")</f>
        <v>Sep</v>
      </c>
      <c r="V328" s="29">
        <f>CHOOSE(MONTH(Invoices[[#This Row],[Date]]),1,1,1,2,2,2,3,3,3,4,4,4)</f>
        <v>3</v>
      </c>
      <c r="W328" s="30">
        <f>IFERROR(Invoices[[#This Row],[Profit]]/Invoices[[#This Row],[Revenue]],0)</f>
        <v>0.77</v>
      </c>
    </row>
    <row r="329" spans="1:23" x14ac:dyDescent="0.3">
      <c r="A329" s="19" t="s">
        <v>5</v>
      </c>
      <c r="B329" s="9">
        <v>22906</v>
      </c>
      <c r="C329" s="15">
        <v>41518</v>
      </c>
      <c r="D329" s="9">
        <v>116</v>
      </c>
      <c r="E329" s="10" t="s">
        <v>84</v>
      </c>
      <c r="F329" s="8">
        <v>2</v>
      </c>
      <c r="G329" s="10"/>
      <c r="H329" s="4" t="s">
        <v>132</v>
      </c>
      <c r="I329" s="4" t="s">
        <v>49</v>
      </c>
      <c r="J329" s="4">
        <v>20</v>
      </c>
      <c r="K329" s="23">
        <v>70</v>
      </c>
      <c r="L329">
        <f>IF(Invoices[[#This Row],[Document Type]]="Return",Invoices[[#This Row],[Unit Price]]*-1,Invoices[[#This Row],[Unit Price]])</f>
        <v>70</v>
      </c>
      <c r="M329" t="str">
        <f>IF(Invoices[[#This Row],[New Unit Price]]&lt;0,"Return",
IF(Invoices[[#This Row],[New Unit Price]]=0,"Free",IF(Invoices[[#This Row],[New Unit Price]]&lt;100,"Basic","Premium")))</f>
        <v>Basic</v>
      </c>
      <c r="N329">
        <f>VLOOKUP(Invoices[[#This Row],[Part  '#]],Products[],4,0)</f>
        <v>13.92</v>
      </c>
      <c r="O329" t="str">
        <f>VLOOKUP(Invoices[[#This Row],[Customer Account]],Customers[],4,0)</f>
        <v>Automotive</v>
      </c>
      <c r="P329" t="str">
        <f>VLOOKUP(Invoices[[#This Row],[Customer Account]],Customers[],3,0)</f>
        <v>Tennessee</v>
      </c>
      <c r="Q329" t="str">
        <f>VLOOKUP(Invoices[[#This Row],[Part  '#]],Products[],3,0)</f>
        <v>Consumables</v>
      </c>
      <c r="R329" s="25">
        <f>Invoices[[#This Row],[Quantity]]*Invoices[[#This Row],[Unit Cost]]</f>
        <v>278.39999999999998</v>
      </c>
      <c r="S329" s="25">
        <f>Invoices[[#This Row],[Quantity]]*Invoices[[#This Row],[New Unit Price]]</f>
        <v>1400</v>
      </c>
      <c r="T329" s="25">
        <f>Invoices[[#This Row],[Revenue]]-Invoices[[#This Row],[Cost]]</f>
        <v>1121.5999999999999</v>
      </c>
      <c r="U329" s="25" t="str">
        <f>TEXT(Invoices[[#This Row],[Date]],"MMM")</f>
        <v>Sep</v>
      </c>
      <c r="V329" s="29">
        <f>CHOOSE(MONTH(Invoices[[#This Row],[Date]]),1,1,1,2,2,2,3,3,3,4,4,4)</f>
        <v>3</v>
      </c>
      <c r="W329" s="30">
        <f>IFERROR(Invoices[[#This Row],[Profit]]/Invoices[[#This Row],[Revenue]],0)</f>
        <v>0.80114285714285705</v>
      </c>
    </row>
    <row r="330" spans="1:23" x14ac:dyDescent="0.3">
      <c r="A330" s="19" t="s">
        <v>5</v>
      </c>
      <c r="B330" s="9">
        <v>22907</v>
      </c>
      <c r="C330" s="15">
        <v>41518</v>
      </c>
      <c r="D330" s="9">
        <v>117</v>
      </c>
      <c r="E330" s="10" t="s">
        <v>85</v>
      </c>
      <c r="F330" s="8">
        <v>1</v>
      </c>
      <c r="G330" s="10"/>
      <c r="H330" s="4" t="s">
        <v>132</v>
      </c>
      <c r="I330" s="4" t="s">
        <v>49</v>
      </c>
      <c r="J330" s="4">
        <v>12</v>
      </c>
      <c r="K330" s="23">
        <v>70</v>
      </c>
      <c r="L330">
        <f>IF(Invoices[[#This Row],[Document Type]]="Return",Invoices[[#This Row],[Unit Price]]*-1,Invoices[[#This Row],[Unit Price]])</f>
        <v>70</v>
      </c>
      <c r="M330" t="str">
        <f>IF(Invoices[[#This Row],[New Unit Price]]&lt;0,"Return",
IF(Invoices[[#This Row],[New Unit Price]]=0,"Free",IF(Invoices[[#This Row],[New Unit Price]]&lt;100,"Basic","Premium")))</f>
        <v>Basic</v>
      </c>
      <c r="N330">
        <f>VLOOKUP(Invoices[[#This Row],[Part  '#]],Products[],4,0)</f>
        <v>13.92</v>
      </c>
      <c r="O330" t="str">
        <f>VLOOKUP(Invoices[[#This Row],[Customer Account]],Customers[],4,0)</f>
        <v>Automotive</v>
      </c>
      <c r="P330" t="str">
        <f>VLOOKUP(Invoices[[#This Row],[Customer Account]],Customers[],3,0)</f>
        <v>Georgia</v>
      </c>
      <c r="Q330" t="str">
        <f>VLOOKUP(Invoices[[#This Row],[Part  '#]],Products[],3,0)</f>
        <v>Consumables</v>
      </c>
      <c r="R330" s="25">
        <f>Invoices[[#This Row],[Quantity]]*Invoices[[#This Row],[Unit Cost]]</f>
        <v>167.04</v>
      </c>
      <c r="S330" s="25">
        <f>Invoices[[#This Row],[Quantity]]*Invoices[[#This Row],[New Unit Price]]</f>
        <v>840</v>
      </c>
      <c r="T330" s="25">
        <f>Invoices[[#This Row],[Revenue]]-Invoices[[#This Row],[Cost]]</f>
        <v>672.96</v>
      </c>
      <c r="U330" s="25" t="str">
        <f>TEXT(Invoices[[#This Row],[Date]],"MMM")</f>
        <v>Sep</v>
      </c>
      <c r="V330" s="29">
        <f>CHOOSE(MONTH(Invoices[[#This Row],[Date]]),1,1,1,2,2,2,3,3,3,4,4,4)</f>
        <v>3</v>
      </c>
      <c r="W330" s="30">
        <f>IFERROR(Invoices[[#This Row],[Profit]]/Invoices[[#This Row],[Revenue]],0)</f>
        <v>0.80114285714285716</v>
      </c>
    </row>
    <row r="331" spans="1:23" x14ac:dyDescent="0.3">
      <c r="A331" s="19" t="s">
        <v>5</v>
      </c>
      <c r="B331" s="9">
        <v>22907</v>
      </c>
      <c r="C331" s="15">
        <v>41518</v>
      </c>
      <c r="D331" s="9">
        <v>117</v>
      </c>
      <c r="E331" s="10" t="s">
        <v>85</v>
      </c>
      <c r="F331" s="8">
        <v>2</v>
      </c>
      <c r="G331" s="10"/>
      <c r="H331" s="4" t="s">
        <v>125</v>
      </c>
      <c r="I331" s="4" t="s">
        <v>40</v>
      </c>
      <c r="J331" s="4">
        <v>12</v>
      </c>
      <c r="K331" s="23">
        <v>30</v>
      </c>
      <c r="L331">
        <f>IF(Invoices[[#This Row],[Document Type]]="Return",Invoices[[#This Row],[Unit Price]]*-1,Invoices[[#This Row],[Unit Price]])</f>
        <v>30</v>
      </c>
      <c r="M331" t="str">
        <f>IF(Invoices[[#This Row],[New Unit Price]]&lt;0,"Return",
IF(Invoices[[#This Row],[New Unit Price]]=0,"Free",IF(Invoices[[#This Row],[New Unit Price]]&lt;100,"Basic","Premium")))</f>
        <v>Basic</v>
      </c>
      <c r="N331">
        <f>VLOOKUP(Invoices[[#This Row],[Part  '#]],Products[],4,0)</f>
        <v>6.9</v>
      </c>
      <c r="O331" t="str">
        <f>VLOOKUP(Invoices[[#This Row],[Customer Account]],Customers[],4,0)</f>
        <v>Automotive</v>
      </c>
      <c r="P331" t="str">
        <f>VLOOKUP(Invoices[[#This Row],[Customer Account]],Customers[],3,0)</f>
        <v>Georgia</v>
      </c>
      <c r="Q331" t="str">
        <f>VLOOKUP(Invoices[[#This Row],[Part  '#]],Products[],3,0)</f>
        <v>Consumables</v>
      </c>
      <c r="R331" s="25">
        <f>Invoices[[#This Row],[Quantity]]*Invoices[[#This Row],[Unit Cost]]</f>
        <v>82.800000000000011</v>
      </c>
      <c r="S331" s="25">
        <f>Invoices[[#This Row],[Quantity]]*Invoices[[#This Row],[New Unit Price]]</f>
        <v>360</v>
      </c>
      <c r="T331" s="25">
        <f>Invoices[[#This Row],[Revenue]]-Invoices[[#This Row],[Cost]]</f>
        <v>277.2</v>
      </c>
      <c r="U331" s="25" t="str">
        <f>TEXT(Invoices[[#This Row],[Date]],"MMM")</f>
        <v>Sep</v>
      </c>
      <c r="V331" s="29">
        <f>CHOOSE(MONTH(Invoices[[#This Row],[Date]]),1,1,1,2,2,2,3,3,3,4,4,4)</f>
        <v>3</v>
      </c>
      <c r="W331" s="30">
        <f>IFERROR(Invoices[[#This Row],[Profit]]/Invoices[[#This Row],[Revenue]],0)</f>
        <v>0.77</v>
      </c>
    </row>
    <row r="332" spans="1:23" x14ac:dyDescent="0.3">
      <c r="A332" s="19" t="s">
        <v>5</v>
      </c>
      <c r="B332" s="9">
        <v>22907</v>
      </c>
      <c r="C332" s="15">
        <v>41518</v>
      </c>
      <c r="D332" s="9">
        <v>117</v>
      </c>
      <c r="E332" s="10" t="s">
        <v>85</v>
      </c>
      <c r="F332" s="8">
        <v>3</v>
      </c>
      <c r="G332" s="10"/>
      <c r="H332" s="4" t="s">
        <v>120</v>
      </c>
      <c r="I332" s="4" t="s">
        <v>54</v>
      </c>
      <c r="J332" s="4">
        <v>1</v>
      </c>
      <c r="K332" s="23">
        <v>250</v>
      </c>
      <c r="L332">
        <f>IF(Invoices[[#This Row],[Document Type]]="Return",Invoices[[#This Row],[Unit Price]]*-1,Invoices[[#This Row],[Unit Price]])</f>
        <v>250</v>
      </c>
      <c r="M332" t="str">
        <f>IF(Invoices[[#This Row],[New Unit Price]]&lt;0,"Return",
IF(Invoices[[#This Row],[New Unit Price]]=0,"Free",IF(Invoices[[#This Row],[New Unit Price]]&lt;100,"Basic","Premium")))</f>
        <v>Premium</v>
      </c>
      <c r="N332">
        <f>VLOOKUP(Invoices[[#This Row],[Part  '#]],Products[],4,0)</f>
        <v>89.7</v>
      </c>
      <c r="O332" t="str">
        <f>VLOOKUP(Invoices[[#This Row],[Customer Account]],Customers[],4,0)</f>
        <v>Automotive</v>
      </c>
      <c r="P332" t="str">
        <f>VLOOKUP(Invoices[[#This Row],[Customer Account]],Customers[],3,0)</f>
        <v>Georgia</v>
      </c>
      <c r="Q332" t="str">
        <f>VLOOKUP(Invoices[[#This Row],[Part  '#]],Products[],3,0)</f>
        <v>Accessories</v>
      </c>
      <c r="R332" s="25">
        <f>Invoices[[#This Row],[Quantity]]*Invoices[[#This Row],[Unit Cost]]</f>
        <v>89.7</v>
      </c>
      <c r="S332" s="25">
        <f>Invoices[[#This Row],[Quantity]]*Invoices[[#This Row],[New Unit Price]]</f>
        <v>250</v>
      </c>
      <c r="T332" s="25">
        <f>Invoices[[#This Row],[Revenue]]-Invoices[[#This Row],[Cost]]</f>
        <v>160.30000000000001</v>
      </c>
      <c r="U332" s="25" t="str">
        <f>TEXT(Invoices[[#This Row],[Date]],"MMM")</f>
        <v>Sep</v>
      </c>
      <c r="V332" s="29">
        <f>CHOOSE(MONTH(Invoices[[#This Row],[Date]]),1,1,1,2,2,2,3,3,3,4,4,4)</f>
        <v>3</v>
      </c>
      <c r="W332" s="30">
        <f>IFERROR(Invoices[[#This Row],[Profit]]/Invoices[[#This Row],[Revenue]],0)</f>
        <v>0.64119999999999999</v>
      </c>
    </row>
    <row r="333" spans="1:23" x14ac:dyDescent="0.3">
      <c r="A333" s="19" t="s">
        <v>5</v>
      </c>
      <c r="B333" s="9">
        <v>22908</v>
      </c>
      <c r="C333" s="15">
        <v>41518</v>
      </c>
      <c r="D333" s="9">
        <v>118</v>
      </c>
      <c r="E333" s="10" t="s">
        <v>86</v>
      </c>
      <c r="F333" s="8">
        <v>1</v>
      </c>
      <c r="G333" s="10"/>
      <c r="H333" s="4" t="s">
        <v>132</v>
      </c>
      <c r="I333" s="4" t="s">
        <v>49</v>
      </c>
      <c r="J333" s="4">
        <v>10</v>
      </c>
      <c r="K333" s="23">
        <v>70</v>
      </c>
      <c r="L333">
        <f>IF(Invoices[[#This Row],[Document Type]]="Return",Invoices[[#This Row],[Unit Price]]*-1,Invoices[[#This Row],[Unit Price]])</f>
        <v>70</v>
      </c>
      <c r="M333" t="str">
        <f>IF(Invoices[[#This Row],[New Unit Price]]&lt;0,"Return",
IF(Invoices[[#This Row],[New Unit Price]]=0,"Free",IF(Invoices[[#This Row],[New Unit Price]]&lt;100,"Basic","Premium")))</f>
        <v>Basic</v>
      </c>
      <c r="N333">
        <f>VLOOKUP(Invoices[[#This Row],[Part  '#]],Products[],4,0)</f>
        <v>13.92</v>
      </c>
      <c r="O333" t="str">
        <f>VLOOKUP(Invoices[[#This Row],[Customer Account]],Customers[],4,0)</f>
        <v>Financial</v>
      </c>
      <c r="P333" t="str">
        <f>VLOOKUP(Invoices[[#This Row],[Customer Account]],Customers[],3,0)</f>
        <v>Georgia</v>
      </c>
      <c r="Q333" t="str">
        <f>VLOOKUP(Invoices[[#This Row],[Part  '#]],Products[],3,0)</f>
        <v>Consumables</v>
      </c>
      <c r="R333" s="25">
        <f>Invoices[[#This Row],[Quantity]]*Invoices[[#This Row],[Unit Cost]]</f>
        <v>139.19999999999999</v>
      </c>
      <c r="S333" s="25">
        <f>Invoices[[#This Row],[Quantity]]*Invoices[[#This Row],[New Unit Price]]</f>
        <v>700</v>
      </c>
      <c r="T333" s="25">
        <f>Invoices[[#This Row],[Revenue]]-Invoices[[#This Row],[Cost]]</f>
        <v>560.79999999999995</v>
      </c>
      <c r="U333" s="25" t="str">
        <f>TEXT(Invoices[[#This Row],[Date]],"MMM")</f>
        <v>Sep</v>
      </c>
      <c r="V333" s="29">
        <f>CHOOSE(MONTH(Invoices[[#This Row],[Date]]),1,1,1,2,2,2,3,3,3,4,4,4)</f>
        <v>3</v>
      </c>
      <c r="W333" s="30">
        <f>IFERROR(Invoices[[#This Row],[Profit]]/Invoices[[#This Row],[Revenue]],0)</f>
        <v>0.80114285714285705</v>
      </c>
    </row>
    <row r="334" spans="1:23" x14ac:dyDescent="0.3">
      <c r="A334" s="19" t="s">
        <v>5</v>
      </c>
      <c r="B334" s="9">
        <v>22908</v>
      </c>
      <c r="C334" s="15">
        <v>41518</v>
      </c>
      <c r="D334" s="9">
        <v>118</v>
      </c>
      <c r="E334" s="10" t="s">
        <v>86</v>
      </c>
      <c r="F334" s="8">
        <v>2</v>
      </c>
      <c r="G334" s="10"/>
      <c r="H334" s="4" t="s">
        <v>125</v>
      </c>
      <c r="I334" s="4" t="s">
        <v>40</v>
      </c>
      <c r="J334" s="4">
        <v>20</v>
      </c>
      <c r="K334" s="23">
        <v>30</v>
      </c>
      <c r="L334">
        <f>IF(Invoices[[#This Row],[Document Type]]="Return",Invoices[[#This Row],[Unit Price]]*-1,Invoices[[#This Row],[Unit Price]])</f>
        <v>30</v>
      </c>
      <c r="M334" t="str">
        <f>IF(Invoices[[#This Row],[New Unit Price]]&lt;0,"Return",
IF(Invoices[[#This Row],[New Unit Price]]=0,"Free",IF(Invoices[[#This Row],[New Unit Price]]&lt;100,"Basic","Premium")))</f>
        <v>Basic</v>
      </c>
      <c r="N334">
        <f>VLOOKUP(Invoices[[#This Row],[Part  '#]],Products[],4,0)</f>
        <v>6.9</v>
      </c>
      <c r="O334" t="str">
        <f>VLOOKUP(Invoices[[#This Row],[Customer Account]],Customers[],4,0)</f>
        <v>Financial</v>
      </c>
      <c r="P334" t="str">
        <f>VLOOKUP(Invoices[[#This Row],[Customer Account]],Customers[],3,0)</f>
        <v>Georgia</v>
      </c>
      <c r="Q334" t="str">
        <f>VLOOKUP(Invoices[[#This Row],[Part  '#]],Products[],3,0)</f>
        <v>Consumables</v>
      </c>
      <c r="R334" s="25">
        <f>Invoices[[#This Row],[Quantity]]*Invoices[[#This Row],[Unit Cost]]</f>
        <v>138</v>
      </c>
      <c r="S334" s="25">
        <f>Invoices[[#This Row],[Quantity]]*Invoices[[#This Row],[New Unit Price]]</f>
        <v>600</v>
      </c>
      <c r="T334" s="25">
        <f>Invoices[[#This Row],[Revenue]]-Invoices[[#This Row],[Cost]]</f>
        <v>462</v>
      </c>
      <c r="U334" s="25" t="str">
        <f>TEXT(Invoices[[#This Row],[Date]],"MMM")</f>
        <v>Sep</v>
      </c>
      <c r="V334" s="29">
        <f>CHOOSE(MONTH(Invoices[[#This Row],[Date]]),1,1,1,2,2,2,3,3,3,4,4,4)</f>
        <v>3</v>
      </c>
      <c r="W334" s="30">
        <f>IFERROR(Invoices[[#This Row],[Profit]]/Invoices[[#This Row],[Revenue]],0)</f>
        <v>0.77</v>
      </c>
    </row>
    <row r="335" spans="1:23" x14ac:dyDescent="0.3">
      <c r="A335" s="19" t="s">
        <v>5</v>
      </c>
      <c r="B335" s="9">
        <v>22909</v>
      </c>
      <c r="C335" s="15">
        <v>41518</v>
      </c>
      <c r="D335" s="9">
        <v>119</v>
      </c>
      <c r="E335" s="10" t="s">
        <v>87</v>
      </c>
      <c r="F335" s="8">
        <v>1</v>
      </c>
      <c r="G335" s="10"/>
      <c r="H335" s="4" t="s">
        <v>135</v>
      </c>
      <c r="I335" s="4" t="s">
        <v>52</v>
      </c>
      <c r="J335" s="4">
        <v>5</v>
      </c>
      <c r="K335" s="23">
        <v>100</v>
      </c>
      <c r="L335">
        <f>IF(Invoices[[#This Row],[Document Type]]="Return",Invoices[[#This Row],[Unit Price]]*-1,Invoices[[#This Row],[Unit Price]])</f>
        <v>100</v>
      </c>
      <c r="M335" t="str">
        <f>IF(Invoices[[#This Row],[New Unit Price]]&lt;0,"Return",
IF(Invoices[[#This Row],[New Unit Price]]=0,"Free",IF(Invoices[[#This Row],[New Unit Price]]&lt;100,"Basic","Premium")))</f>
        <v>Premium</v>
      </c>
      <c r="N335">
        <f>VLOOKUP(Invoices[[#This Row],[Part  '#]],Products[],4,0)</f>
        <v>27.17</v>
      </c>
      <c r="O335" t="str">
        <f>VLOOKUP(Invoices[[#This Row],[Customer Account]],Customers[],4,0)</f>
        <v>Financial</v>
      </c>
      <c r="P335" t="str">
        <f>VLOOKUP(Invoices[[#This Row],[Customer Account]],Customers[],3,0)</f>
        <v>Georgia</v>
      </c>
      <c r="Q335" t="str">
        <f>VLOOKUP(Invoices[[#This Row],[Part  '#]],Products[],3,0)</f>
        <v>Consumables</v>
      </c>
      <c r="R335" s="25">
        <f>Invoices[[#This Row],[Quantity]]*Invoices[[#This Row],[Unit Cost]]</f>
        <v>135.85000000000002</v>
      </c>
      <c r="S335" s="25">
        <f>Invoices[[#This Row],[Quantity]]*Invoices[[#This Row],[New Unit Price]]</f>
        <v>500</v>
      </c>
      <c r="T335" s="25">
        <f>Invoices[[#This Row],[Revenue]]-Invoices[[#This Row],[Cost]]</f>
        <v>364.15</v>
      </c>
      <c r="U335" s="25" t="str">
        <f>TEXT(Invoices[[#This Row],[Date]],"MMM")</f>
        <v>Sep</v>
      </c>
      <c r="V335" s="29">
        <f>CHOOSE(MONTH(Invoices[[#This Row],[Date]]),1,1,1,2,2,2,3,3,3,4,4,4)</f>
        <v>3</v>
      </c>
      <c r="W335" s="30">
        <f>IFERROR(Invoices[[#This Row],[Profit]]/Invoices[[#This Row],[Revenue]],0)</f>
        <v>0.72829999999999995</v>
      </c>
    </row>
    <row r="336" spans="1:23" x14ac:dyDescent="0.3">
      <c r="A336" s="19" t="s">
        <v>5</v>
      </c>
      <c r="B336" s="9">
        <v>22909</v>
      </c>
      <c r="C336" s="15">
        <v>41518</v>
      </c>
      <c r="D336" s="9">
        <v>119</v>
      </c>
      <c r="E336" s="10" t="s">
        <v>87</v>
      </c>
      <c r="F336" s="8">
        <v>2</v>
      </c>
      <c r="G336" s="10"/>
      <c r="H336" s="4" t="s">
        <v>136</v>
      </c>
      <c r="I336" s="4" t="s">
        <v>53</v>
      </c>
      <c r="J336" s="4">
        <v>5</v>
      </c>
      <c r="K336" s="23">
        <v>140</v>
      </c>
      <c r="L336">
        <f>IF(Invoices[[#This Row],[Document Type]]="Return",Invoices[[#This Row],[Unit Price]]*-1,Invoices[[#This Row],[Unit Price]])</f>
        <v>140</v>
      </c>
      <c r="M336" t="str">
        <f>IF(Invoices[[#This Row],[New Unit Price]]&lt;0,"Return",
IF(Invoices[[#This Row],[New Unit Price]]=0,"Free",IF(Invoices[[#This Row],[New Unit Price]]&lt;100,"Basic","Premium")))</f>
        <v>Premium</v>
      </c>
      <c r="N336">
        <f>VLOOKUP(Invoices[[#This Row],[Part  '#]],Products[],4,0)</f>
        <v>34.299999999999997</v>
      </c>
      <c r="O336" t="str">
        <f>VLOOKUP(Invoices[[#This Row],[Customer Account]],Customers[],4,0)</f>
        <v>Financial</v>
      </c>
      <c r="P336" t="str">
        <f>VLOOKUP(Invoices[[#This Row],[Customer Account]],Customers[],3,0)</f>
        <v>Georgia</v>
      </c>
      <c r="Q336" t="str">
        <f>VLOOKUP(Invoices[[#This Row],[Part  '#]],Products[],3,0)</f>
        <v>Consumables</v>
      </c>
      <c r="R336" s="25">
        <f>Invoices[[#This Row],[Quantity]]*Invoices[[#This Row],[Unit Cost]]</f>
        <v>171.5</v>
      </c>
      <c r="S336" s="25">
        <f>Invoices[[#This Row],[Quantity]]*Invoices[[#This Row],[New Unit Price]]</f>
        <v>700</v>
      </c>
      <c r="T336" s="25">
        <f>Invoices[[#This Row],[Revenue]]-Invoices[[#This Row],[Cost]]</f>
        <v>528.5</v>
      </c>
      <c r="U336" s="25" t="str">
        <f>TEXT(Invoices[[#This Row],[Date]],"MMM")</f>
        <v>Sep</v>
      </c>
      <c r="V336" s="29">
        <f>CHOOSE(MONTH(Invoices[[#This Row],[Date]]),1,1,1,2,2,2,3,3,3,4,4,4)</f>
        <v>3</v>
      </c>
      <c r="W336" s="30">
        <f>IFERROR(Invoices[[#This Row],[Profit]]/Invoices[[#This Row],[Revenue]],0)</f>
        <v>0.755</v>
      </c>
    </row>
    <row r="337" spans="1:23" x14ac:dyDescent="0.3">
      <c r="A337" s="19" t="s">
        <v>5</v>
      </c>
      <c r="B337" s="9">
        <v>22909</v>
      </c>
      <c r="C337" s="15">
        <v>41518</v>
      </c>
      <c r="D337" s="9">
        <v>119</v>
      </c>
      <c r="E337" s="10" t="s">
        <v>87</v>
      </c>
      <c r="F337" s="8">
        <v>3</v>
      </c>
      <c r="G337" s="10"/>
      <c r="H337" s="4" t="s">
        <v>128</v>
      </c>
      <c r="I337" s="4" t="s">
        <v>45</v>
      </c>
      <c r="J337" s="4">
        <v>50</v>
      </c>
      <c r="K337" s="23">
        <v>25</v>
      </c>
      <c r="L337">
        <f>IF(Invoices[[#This Row],[Document Type]]="Return",Invoices[[#This Row],[Unit Price]]*-1,Invoices[[#This Row],[Unit Price]])</f>
        <v>25</v>
      </c>
      <c r="M337" t="str">
        <f>IF(Invoices[[#This Row],[New Unit Price]]&lt;0,"Return",
IF(Invoices[[#This Row],[New Unit Price]]=0,"Free",IF(Invoices[[#This Row],[New Unit Price]]&lt;100,"Basic","Premium")))</f>
        <v>Basic</v>
      </c>
      <c r="N337">
        <f>VLOOKUP(Invoices[[#This Row],[Part  '#]],Products[],4,0)</f>
        <v>5.16</v>
      </c>
      <c r="O337" t="str">
        <f>VLOOKUP(Invoices[[#This Row],[Customer Account]],Customers[],4,0)</f>
        <v>Financial</v>
      </c>
      <c r="P337" t="str">
        <f>VLOOKUP(Invoices[[#This Row],[Customer Account]],Customers[],3,0)</f>
        <v>Georgia</v>
      </c>
      <c r="Q337" t="str">
        <f>VLOOKUP(Invoices[[#This Row],[Part  '#]],Products[],3,0)</f>
        <v>Consumables</v>
      </c>
      <c r="R337" s="25">
        <f>Invoices[[#This Row],[Quantity]]*Invoices[[#This Row],[Unit Cost]]</f>
        <v>258</v>
      </c>
      <c r="S337" s="25">
        <f>Invoices[[#This Row],[Quantity]]*Invoices[[#This Row],[New Unit Price]]</f>
        <v>1250</v>
      </c>
      <c r="T337" s="25">
        <f>Invoices[[#This Row],[Revenue]]-Invoices[[#This Row],[Cost]]</f>
        <v>992</v>
      </c>
      <c r="U337" s="25" t="str">
        <f>TEXT(Invoices[[#This Row],[Date]],"MMM")</f>
        <v>Sep</v>
      </c>
      <c r="V337" s="29">
        <f>CHOOSE(MONTH(Invoices[[#This Row],[Date]]),1,1,1,2,2,2,3,3,3,4,4,4)</f>
        <v>3</v>
      </c>
      <c r="W337" s="30">
        <f>IFERROR(Invoices[[#This Row],[Profit]]/Invoices[[#This Row],[Revenue]],0)</f>
        <v>0.79359999999999997</v>
      </c>
    </row>
    <row r="338" spans="1:23" x14ac:dyDescent="0.3">
      <c r="A338" s="19" t="s">
        <v>5</v>
      </c>
      <c r="B338" s="9">
        <v>22909</v>
      </c>
      <c r="C338" s="15">
        <v>41518</v>
      </c>
      <c r="D338" s="9">
        <v>119</v>
      </c>
      <c r="E338" s="10" t="s">
        <v>87</v>
      </c>
      <c r="F338" s="8">
        <v>4</v>
      </c>
      <c r="G338" s="10"/>
      <c r="H338" s="4" t="s">
        <v>130</v>
      </c>
      <c r="I338" s="4" t="s">
        <v>47</v>
      </c>
      <c r="J338" s="4">
        <v>50</v>
      </c>
      <c r="K338" s="23">
        <v>24</v>
      </c>
      <c r="L338">
        <f>IF(Invoices[[#This Row],[Document Type]]="Return",Invoices[[#This Row],[Unit Price]]*-1,Invoices[[#This Row],[Unit Price]])</f>
        <v>24</v>
      </c>
      <c r="M338" t="str">
        <f>IF(Invoices[[#This Row],[New Unit Price]]&lt;0,"Return",
IF(Invoices[[#This Row],[New Unit Price]]=0,"Free",IF(Invoices[[#This Row],[New Unit Price]]&lt;100,"Basic","Premium")))</f>
        <v>Basic</v>
      </c>
      <c r="N338">
        <f>VLOOKUP(Invoices[[#This Row],[Part  '#]],Products[],4,0)</f>
        <v>7.09</v>
      </c>
      <c r="O338" t="str">
        <f>VLOOKUP(Invoices[[#This Row],[Customer Account]],Customers[],4,0)</f>
        <v>Financial</v>
      </c>
      <c r="P338" t="str">
        <f>VLOOKUP(Invoices[[#This Row],[Customer Account]],Customers[],3,0)</f>
        <v>Georgia</v>
      </c>
      <c r="Q338" t="str">
        <f>VLOOKUP(Invoices[[#This Row],[Part  '#]],Products[],3,0)</f>
        <v>Consumables</v>
      </c>
      <c r="R338" s="25">
        <f>Invoices[[#This Row],[Quantity]]*Invoices[[#This Row],[Unit Cost]]</f>
        <v>354.5</v>
      </c>
      <c r="S338" s="25">
        <f>Invoices[[#This Row],[Quantity]]*Invoices[[#This Row],[New Unit Price]]</f>
        <v>1200</v>
      </c>
      <c r="T338" s="25">
        <f>Invoices[[#This Row],[Revenue]]-Invoices[[#This Row],[Cost]]</f>
        <v>845.5</v>
      </c>
      <c r="U338" s="25" t="str">
        <f>TEXT(Invoices[[#This Row],[Date]],"MMM")</f>
        <v>Sep</v>
      </c>
      <c r="V338" s="29">
        <f>CHOOSE(MONTH(Invoices[[#This Row],[Date]]),1,1,1,2,2,2,3,3,3,4,4,4)</f>
        <v>3</v>
      </c>
      <c r="W338" s="30">
        <f>IFERROR(Invoices[[#This Row],[Profit]]/Invoices[[#This Row],[Revenue]],0)</f>
        <v>0.70458333333333334</v>
      </c>
    </row>
    <row r="339" spans="1:23" x14ac:dyDescent="0.3">
      <c r="A339" s="19" t="s">
        <v>5</v>
      </c>
      <c r="B339" s="9">
        <v>22910</v>
      </c>
      <c r="C339" s="15">
        <v>41524</v>
      </c>
      <c r="D339" s="9">
        <v>102</v>
      </c>
      <c r="E339" s="10" t="s">
        <v>63</v>
      </c>
      <c r="F339" s="8">
        <v>1</v>
      </c>
      <c r="G339" s="10"/>
      <c r="H339" s="4" t="s">
        <v>106</v>
      </c>
      <c r="I339" s="4" t="s">
        <v>20</v>
      </c>
      <c r="J339" s="4">
        <v>3</v>
      </c>
      <c r="K339" s="23">
        <v>2100</v>
      </c>
      <c r="L339">
        <f>IF(Invoices[[#This Row],[Document Type]]="Return",Invoices[[#This Row],[Unit Price]]*-1,Invoices[[#This Row],[Unit Price]])</f>
        <v>2100</v>
      </c>
      <c r="M339" t="str">
        <f>IF(Invoices[[#This Row],[New Unit Price]]&lt;0,"Return",
IF(Invoices[[#This Row],[New Unit Price]]=0,"Free",IF(Invoices[[#This Row],[New Unit Price]]&lt;100,"Basic","Premium")))</f>
        <v>Premium</v>
      </c>
      <c r="N339">
        <f>VLOOKUP(Invoices[[#This Row],[Part  '#]],Products[],4,0)</f>
        <v>1155.3699999999999</v>
      </c>
      <c r="O339" t="str">
        <f>VLOOKUP(Invoices[[#This Row],[Customer Account]],Customers[],4,0)</f>
        <v>Automotive</v>
      </c>
      <c r="P339" t="str">
        <f>VLOOKUP(Invoices[[#This Row],[Customer Account]],Customers[],3,0)</f>
        <v>Georgia</v>
      </c>
      <c r="Q339" t="str">
        <f>VLOOKUP(Invoices[[#This Row],[Part  '#]],Products[],3,0)</f>
        <v>Product</v>
      </c>
      <c r="R339" s="25">
        <f>Invoices[[#This Row],[Quantity]]*Invoices[[#This Row],[Unit Cost]]</f>
        <v>3466.1099999999997</v>
      </c>
      <c r="S339" s="25">
        <f>Invoices[[#This Row],[Quantity]]*Invoices[[#This Row],[New Unit Price]]</f>
        <v>6300</v>
      </c>
      <c r="T339" s="25">
        <f>Invoices[[#This Row],[Revenue]]-Invoices[[#This Row],[Cost]]</f>
        <v>2833.8900000000003</v>
      </c>
      <c r="U339" s="25" t="str">
        <f>TEXT(Invoices[[#This Row],[Date]],"MMM")</f>
        <v>Sep</v>
      </c>
      <c r="V339" s="29">
        <f>CHOOSE(MONTH(Invoices[[#This Row],[Date]]),1,1,1,2,2,2,3,3,3,4,4,4)</f>
        <v>3</v>
      </c>
      <c r="W339" s="30">
        <f>IFERROR(Invoices[[#This Row],[Profit]]/Invoices[[#This Row],[Revenue]],0)</f>
        <v>0.44982380952380957</v>
      </c>
    </row>
    <row r="340" spans="1:23" x14ac:dyDescent="0.3">
      <c r="A340" s="19" t="s">
        <v>5</v>
      </c>
      <c r="B340" s="9">
        <v>22910</v>
      </c>
      <c r="C340" s="15">
        <v>41524</v>
      </c>
      <c r="D340" s="9">
        <v>102</v>
      </c>
      <c r="E340" s="10" t="s">
        <v>63</v>
      </c>
      <c r="F340" s="8">
        <v>2</v>
      </c>
      <c r="G340" s="10"/>
      <c r="H340" s="4" t="s">
        <v>137</v>
      </c>
      <c r="I340" s="4" t="s">
        <v>31</v>
      </c>
      <c r="J340" s="4">
        <v>3</v>
      </c>
      <c r="K340" s="23">
        <v>30</v>
      </c>
      <c r="L340">
        <f>IF(Invoices[[#This Row],[Document Type]]="Return",Invoices[[#This Row],[Unit Price]]*-1,Invoices[[#This Row],[Unit Price]])</f>
        <v>30</v>
      </c>
      <c r="M340" t="str">
        <f>IF(Invoices[[#This Row],[New Unit Price]]&lt;0,"Return",
IF(Invoices[[#This Row],[New Unit Price]]=0,"Free",IF(Invoices[[#This Row],[New Unit Price]]&lt;100,"Basic","Premium")))</f>
        <v>Basic</v>
      </c>
      <c r="N340">
        <f>VLOOKUP(Invoices[[#This Row],[Part  '#]],Products[],4,0)</f>
        <v>6.3</v>
      </c>
      <c r="O340" t="str">
        <f>VLOOKUP(Invoices[[#This Row],[Customer Account]],Customers[],4,0)</f>
        <v>Automotive</v>
      </c>
      <c r="P340" t="str">
        <f>VLOOKUP(Invoices[[#This Row],[Customer Account]],Customers[],3,0)</f>
        <v>Georgia</v>
      </c>
      <c r="Q340" t="str">
        <f>VLOOKUP(Invoices[[#This Row],[Part  '#]],Products[],3,0)</f>
        <v>Accessories</v>
      </c>
      <c r="R340" s="25">
        <f>Invoices[[#This Row],[Quantity]]*Invoices[[#This Row],[Unit Cost]]</f>
        <v>18.899999999999999</v>
      </c>
      <c r="S340" s="25">
        <f>Invoices[[#This Row],[Quantity]]*Invoices[[#This Row],[New Unit Price]]</f>
        <v>90</v>
      </c>
      <c r="T340" s="25">
        <f>Invoices[[#This Row],[Revenue]]-Invoices[[#This Row],[Cost]]</f>
        <v>71.099999999999994</v>
      </c>
      <c r="U340" s="25" t="str">
        <f>TEXT(Invoices[[#This Row],[Date]],"MMM")</f>
        <v>Sep</v>
      </c>
      <c r="V340" s="29">
        <f>CHOOSE(MONTH(Invoices[[#This Row],[Date]]),1,1,1,2,2,2,3,3,3,4,4,4)</f>
        <v>3</v>
      </c>
      <c r="W340" s="30">
        <f>IFERROR(Invoices[[#This Row],[Profit]]/Invoices[[#This Row],[Revenue]],0)</f>
        <v>0.78999999999999992</v>
      </c>
    </row>
    <row r="341" spans="1:23" x14ac:dyDescent="0.3">
      <c r="A341" s="19" t="s">
        <v>5</v>
      </c>
      <c r="B341" s="9">
        <v>22910</v>
      </c>
      <c r="C341" s="15">
        <v>41524</v>
      </c>
      <c r="D341" s="9">
        <v>102</v>
      </c>
      <c r="E341" s="10" t="s">
        <v>63</v>
      </c>
      <c r="F341" s="8">
        <v>3</v>
      </c>
      <c r="G341" s="10"/>
      <c r="H341" s="4" t="s">
        <v>117</v>
      </c>
      <c r="I341" s="4" t="s">
        <v>33</v>
      </c>
      <c r="J341" s="4">
        <v>3</v>
      </c>
      <c r="K341" s="23">
        <v>30</v>
      </c>
      <c r="L341">
        <f>IF(Invoices[[#This Row],[Document Type]]="Return",Invoices[[#This Row],[Unit Price]]*-1,Invoices[[#This Row],[Unit Price]])</f>
        <v>30</v>
      </c>
      <c r="M341" t="str">
        <f>IF(Invoices[[#This Row],[New Unit Price]]&lt;0,"Return",
IF(Invoices[[#This Row],[New Unit Price]]=0,"Free",IF(Invoices[[#This Row],[New Unit Price]]&lt;100,"Basic","Premium")))</f>
        <v>Basic</v>
      </c>
      <c r="N341">
        <f>VLOOKUP(Invoices[[#This Row],[Part  '#]],Products[],4,0)</f>
        <v>11.59</v>
      </c>
      <c r="O341" t="str">
        <f>VLOOKUP(Invoices[[#This Row],[Customer Account]],Customers[],4,0)</f>
        <v>Automotive</v>
      </c>
      <c r="P341" t="str">
        <f>VLOOKUP(Invoices[[#This Row],[Customer Account]],Customers[],3,0)</f>
        <v>Georgia</v>
      </c>
      <c r="Q341" t="str">
        <f>VLOOKUP(Invoices[[#This Row],[Part  '#]],Products[],3,0)</f>
        <v>Accessories</v>
      </c>
      <c r="R341" s="25">
        <f>Invoices[[#This Row],[Quantity]]*Invoices[[#This Row],[Unit Cost]]</f>
        <v>34.769999999999996</v>
      </c>
      <c r="S341" s="25">
        <f>Invoices[[#This Row],[Quantity]]*Invoices[[#This Row],[New Unit Price]]</f>
        <v>90</v>
      </c>
      <c r="T341" s="25">
        <f>Invoices[[#This Row],[Revenue]]-Invoices[[#This Row],[Cost]]</f>
        <v>55.230000000000004</v>
      </c>
      <c r="U341" s="25" t="str">
        <f>TEXT(Invoices[[#This Row],[Date]],"MMM")</f>
        <v>Sep</v>
      </c>
      <c r="V341" s="29">
        <f>CHOOSE(MONTH(Invoices[[#This Row],[Date]]),1,1,1,2,2,2,3,3,3,4,4,4)</f>
        <v>3</v>
      </c>
      <c r="W341" s="30">
        <f>IFERROR(Invoices[[#This Row],[Profit]]/Invoices[[#This Row],[Revenue]],0)</f>
        <v>0.61366666666666669</v>
      </c>
    </row>
    <row r="342" spans="1:23" x14ac:dyDescent="0.3">
      <c r="A342" s="19" t="s">
        <v>5</v>
      </c>
      <c r="B342" s="9">
        <v>22910</v>
      </c>
      <c r="C342" s="15">
        <v>41524</v>
      </c>
      <c r="D342" s="9">
        <v>102</v>
      </c>
      <c r="E342" s="10" t="s">
        <v>63</v>
      </c>
      <c r="F342" s="8">
        <v>4</v>
      </c>
      <c r="G342" s="10"/>
      <c r="H342" s="4" t="s">
        <v>119</v>
      </c>
      <c r="I342" s="4" t="s">
        <v>43</v>
      </c>
      <c r="J342" s="4">
        <v>3</v>
      </c>
      <c r="K342" s="23">
        <v>60</v>
      </c>
      <c r="L342">
        <f>IF(Invoices[[#This Row],[Document Type]]="Return",Invoices[[#This Row],[Unit Price]]*-1,Invoices[[#This Row],[Unit Price]])</f>
        <v>60</v>
      </c>
      <c r="M342" t="str">
        <f>IF(Invoices[[#This Row],[New Unit Price]]&lt;0,"Return",
IF(Invoices[[#This Row],[New Unit Price]]=0,"Free",IF(Invoices[[#This Row],[New Unit Price]]&lt;100,"Basic","Premium")))</f>
        <v>Basic</v>
      </c>
      <c r="N342">
        <f>VLOOKUP(Invoices[[#This Row],[Part  '#]],Products[],4,0)</f>
        <v>17.22</v>
      </c>
      <c r="O342" t="str">
        <f>VLOOKUP(Invoices[[#This Row],[Customer Account]],Customers[],4,0)</f>
        <v>Automotive</v>
      </c>
      <c r="P342" t="str">
        <f>VLOOKUP(Invoices[[#This Row],[Customer Account]],Customers[],3,0)</f>
        <v>Georgia</v>
      </c>
      <c r="Q342" t="str">
        <f>VLOOKUP(Invoices[[#This Row],[Part  '#]],Products[],3,0)</f>
        <v>Accessories</v>
      </c>
      <c r="R342" s="25">
        <f>Invoices[[#This Row],[Quantity]]*Invoices[[#This Row],[Unit Cost]]</f>
        <v>51.66</v>
      </c>
      <c r="S342" s="25">
        <f>Invoices[[#This Row],[Quantity]]*Invoices[[#This Row],[New Unit Price]]</f>
        <v>180</v>
      </c>
      <c r="T342" s="25">
        <f>Invoices[[#This Row],[Revenue]]-Invoices[[#This Row],[Cost]]</f>
        <v>128.34</v>
      </c>
      <c r="U342" s="25" t="str">
        <f>TEXT(Invoices[[#This Row],[Date]],"MMM")</f>
        <v>Sep</v>
      </c>
      <c r="V342" s="29">
        <f>CHOOSE(MONTH(Invoices[[#This Row],[Date]]),1,1,1,2,2,2,3,3,3,4,4,4)</f>
        <v>3</v>
      </c>
      <c r="W342" s="30">
        <f>IFERROR(Invoices[[#This Row],[Profit]]/Invoices[[#This Row],[Revenue]],0)</f>
        <v>0.71299999999999997</v>
      </c>
    </row>
    <row r="343" spans="1:23" x14ac:dyDescent="0.3">
      <c r="A343" s="19" t="s">
        <v>5</v>
      </c>
      <c r="B343" s="9">
        <v>22910</v>
      </c>
      <c r="C343" s="15">
        <v>41524</v>
      </c>
      <c r="D343" s="9">
        <v>102</v>
      </c>
      <c r="E343" s="10" t="s">
        <v>63</v>
      </c>
      <c r="F343" s="8">
        <v>5</v>
      </c>
      <c r="G343" s="10"/>
      <c r="H343" s="4" t="s">
        <v>121</v>
      </c>
      <c r="I343" s="4" t="s">
        <v>55</v>
      </c>
      <c r="J343" s="4">
        <v>1</v>
      </c>
      <c r="K343" s="23">
        <v>250</v>
      </c>
      <c r="L343">
        <f>IF(Invoices[[#This Row],[Document Type]]="Return",Invoices[[#This Row],[Unit Price]]*-1,Invoices[[#This Row],[Unit Price]])</f>
        <v>250</v>
      </c>
      <c r="M343" t="str">
        <f>IF(Invoices[[#This Row],[New Unit Price]]&lt;0,"Return",
IF(Invoices[[#This Row],[New Unit Price]]=0,"Free",IF(Invoices[[#This Row],[New Unit Price]]&lt;100,"Basic","Premium")))</f>
        <v>Premium</v>
      </c>
      <c r="N343">
        <f>VLOOKUP(Invoices[[#This Row],[Part  '#]],Products[],4,0)</f>
        <v>93.81</v>
      </c>
      <c r="O343" t="str">
        <f>VLOOKUP(Invoices[[#This Row],[Customer Account]],Customers[],4,0)</f>
        <v>Automotive</v>
      </c>
      <c r="P343" t="str">
        <f>VLOOKUP(Invoices[[#This Row],[Customer Account]],Customers[],3,0)</f>
        <v>Georgia</v>
      </c>
      <c r="Q343" t="str">
        <f>VLOOKUP(Invoices[[#This Row],[Part  '#]],Products[],3,0)</f>
        <v>Accessories</v>
      </c>
      <c r="R343" s="25">
        <f>Invoices[[#This Row],[Quantity]]*Invoices[[#This Row],[Unit Cost]]</f>
        <v>93.81</v>
      </c>
      <c r="S343" s="25">
        <f>Invoices[[#This Row],[Quantity]]*Invoices[[#This Row],[New Unit Price]]</f>
        <v>250</v>
      </c>
      <c r="T343" s="25">
        <f>Invoices[[#This Row],[Revenue]]-Invoices[[#This Row],[Cost]]</f>
        <v>156.19</v>
      </c>
      <c r="U343" s="25" t="str">
        <f>TEXT(Invoices[[#This Row],[Date]],"MMM")</f>
        <v>Sep</v>
      </c>
      <c r="V343" s="29">
        <f>CHOOSE(MONTH(Invoices[[#This Row],[Date]]),1,1,1,2,2,2,3,3,3,4,4,4)</f>
        <v>3</v>
      </c>
      <c r="W343" s="30">
        <f>IFERROR(Invoices[[#This Row],[Profit]]/Invoices[[#This Row],[Revenue]],0)</f>
        <v>0.62475999999999998</v>
      </c>
    </row>
    <row r="344" spans="1:23" x14ac:dyDescent="0.3">
      <c r="A344" s="19" t="s">
        <v>5</v>
      </c>
      <c r="B344" s="9">
        <v>22911</v>
      </c>
      <c r="C344" s="15">
        <v>41532</v>
      </c>
      <c r="D344" s="9">
        <v>110</v>
      </c>
      <c r="E344" s="10" t="s">
        <v>75</v>
      </c>
      <c r="F344" s="8">
        <v>1</v>
      </c>
      <c r="G344" s="10"/>
      <c r="H344" s="4" t="s">
        <v>135</v>
      </c>
      <c r="I344" s="4" t="s">
        <v>52</v>
      </c>
      <c r="J344" s="4">
        <v>10</v>
      </c>
      <c r="K344" s="23">
        <v>100</v>
      </c>
      <c r="L344">
        <f>IF(Invoices[[#This Row],[Document Type]]="Return",Invoices[[#This Row],[Unit Price]]*-1,Invoices[[#This Row],[Unit Price]])</f>
        <v>100</v>
      </c>
      <c r="M344" t="str">
        <f>IF(Invoices[[#This Row],[New Unit Price]]&lt;0,"Return",
IF(Invoices[[#This Row],[New Unit Price]]=0,"Free",IF(Invoices[[#This Row],[New Unit Price]]&lt;100,"Basic","Premium")))</f>
        <v>Premium</v>
      </c>
      <c r="N344">
        <f>VLOOKUP(Invoices[[#This Row],[Part  '#]],Products[],4,0)</f>
        <v>27.17</v>
      </c>
      <c r="O344" t="str">
        <f>VLOOKUP(Invoices[[#This Row],[Customer Account]],Customers[],4,0)</f>
        <v>Automotive</v>
      </c>
      <c r="P344" t="str">
        <f>VLOOKUP(Invoices[[#This Row],[Customer Account]],Customers[],3,0)</f>
        <v>Alabama</v>
      </c>
      <c r="Q344" t="str">
        <f>VLOOKUP(Invoices[[#This Row],[Part  '#]],Products[],3,0)</f>
        <v>Consumables</v>
      </c>
      <c r="R344" s="25">
        <f>Invoices[[#This Row],[Quantity]]*Invoices[[#This Row],[Unit Cost]]</f>
        <v>271.70000000000005</v>
      </c>
      <c r="S344" s="25">
        <f>Invoices[[#This Row],[Quantity]]*Invoices[[#This Row],[New Unit Price]]</f>
        <v>1000</v>
      </c>
      <c r="T344" s="25">
        <f>Invoices[[#This Row],[Revenue]]-Invoices[[#This Row],[Cost]]</f>
        <v>728.3</v>
      </c>
      <c r="U344" s="25" t="str">
        <f>TEXT(Invoices[[#This Row],[Date]],"MMM")</f>
        <v>Sep</v>
      </c>
      <c r="V344" s="29">
        <f>CHOOSE(MONTH(Invoices[[#This Row],[Date]]),1,1,1,2,2,2,3,3,3,4,4,4)</f>
        <v>3</v>
      </c>
      <c r="W344" s="30">
        <f>IFERROR(Invoices[[#This Row],[Profit]]/Invoices[[#This Row],[Revenue]],0)</f>
        <v>0.72829999999999995</v>
      </c>
    </row>
    <row r="345" spans="1:23" x14ac:dyDescent="0.3">
      <c r="A345" s="19" t="s">
        <v>5</v>
      </c>
      <c r="B345" s="9">
        <v>22911</v>
      </c>
      <c r="C345" s="15">
        <v>41532</v>
      </c>
      <c r="D345" s="9">
        <v>110</v>
      </c>
      <c r="E345" s="10" t="s">
        <v>75</v>
      </c>
      <c r="F345" s="8">
        <v>2</v>
      </c>
      <c r="G345" s="10"/>
      <c r="H345" s="4" t="s">
        <v>136</v>
      </c>
      <c r="I345" s="4" t="s">
        <v>53</v>
      </c>
      <c r="J345" s="4">
        <v>10</v>
      </c>
      <c r="K345" s="23">
        <v>140</v>
      </c>
      <c r="L345">
        <f>IF(Invoices[[#This Row],[Document Type]]="Return",Invoices[[#This Row],[Unit Price]]*-1,Invoices[[#This Row],[Unit Price]])</f>
        <v>140</v>
      </c>
      <c r="M345" t="str">
        <f>IF(Invoices[[#This Row],[New Unit Price]]&lt;0,"Return",
IF(Invoices[[#This Row],[New Unit Price]]=0,"Free",IF(Invoices[[#This Row],[New Unit Price]]&lt;100,"Basic","Premium")))</f>
        <v>Premium</v>
      </c>
      <c r="N345">
        <f>VLOOKUP(Invoices[[#This Row],[Part  '#]],Products[],4,0)</f>
        <v>34.299999999999997</v>
      </c>
      <c r="O345" t="str">
        <f>VLOOKUP(Invoices[[#This Row],[Customer Account]],Customers[],4,0)</f>
        <v>Automotive</v>
      </c>
      <c r="P345" t="str">
        <f>VLOOKUP(Invoices[[#This Row],[Customer Account]],Customers[],3,0)</f>
        <v>Alabama</v>
      </c>
      <c r="Q345" t="str">
        <f>VLOOKUP(Invoices[[#This Row],[Part  '#]],Products[],3,0)</f>
        <v>Consumables</v>
      </c>
      <c r="R345" s="25">
        <f>Invoices[[#This Row],[Quantity]]*Invoices[[#This Row],[Unit Cost]]</f>
        <v>343</v>
      </c>
      <c r="S345" s="25">
        <f>Invoices[[#This Row],[Quantity]]*Invoices[[#This Row],[New Unit Price]]</f>
        <v>1400</v>
      </c>
      <c r="T345" s="25">
        <f>Invoices[[#This Row],[Revenue]]-Invoices[[#This Row],[Cost]]</f>
        <v>1057</v>
      </c>
      <c r="U345" s="25" t="str">
        <f>TEXT(Invoices[[#This Row],[Date]],"MMM")</f>
        <v>Sep</v>
      </c>
      <c r="V345" s="29">
        <f>CHOOSE(MONTH(Invoices[[#This Row],[Date]]),1,1,1,2,2,2,3,3,3,4,4,4)</f>
        <v>3</v>
      </c>
      <c r="W345" s="30">
        <f>IFERROR(Invoices[[#This Row],[Profit]]/Invoices[[#This Row],[Revenue]],0)</f>
        <v>0.755</v>
      </c>
    </row>
    <row r="346" spans="1:23" x14ac:dyDescent="0.3">
      <c r="A346" s="19" t="s">
        <v>5</v>
      </c>
      <c r="B346" s="9">
        <v>22911</v>
      </c>
      <c r="C346" s="15">
        <v>41532</v>
      </c>
      <c r="D346" s="9">
        <v>110</v>
      </c>
      <c r="E346" s="10" t="s">
        <v>75</v>
      </c>
      <c r="F346" s="8">
        <v>3</v>
      </c>
      <c r="G346" s="10"/>
      <c r="H346" s="4" t="s">
        <v>131</v>
      </c>
      <c r="I346" s="4" t="s">
        <v>48</v>
      </c>
      <c r="J346" s="4">
        <v>24</v>
      </c>
      <c r="K346" s="23">
        <v>50</v>
      </c>
      <c r="L346">
        <f>IF(Invoices[[#This Row],[Document Type]]="Return",Invoices[[#This Row],[Unit Price]]*-1,Invoices[[#This Row],[Unit Price]])</f>
        <v>50</v>
      </c>
      <c r="M346" t="str">
        <f>IF(Invoices[[#This Row],[New Unit Price]]&lt;0,"Return",
IF(Invoices[[#This Row],[New Unit Price]]=0,"Free",IF(Invoices[[#This Row],[New Unit Price]]&lt;100,"Basic","Premium")))</f>
        <v>Basic</v>
      </c>
      <c r="N346">
        <f>VLOOKUP(Invoices[[#This Row],[Part  '#]],Products[],4,0)</f>
        <v>11.67</v>
      </c>
      <c r="O346" t="str">
        <f>VLOOKUP(Invoices[[#This Row],[Customer Account]],Customers[],4,0)</f>
        <v>Automotive</v>
      </c>
      <c r="P346" t="str">
        <f>VLOOKUP(Invoices[[#This Row],[Customer Account]],Customers[],3,0)</f>
        <v>Alabama</v>
      </c>
      <c r="Q346" t="str">
        <f>VLOOKUP(Invoices[[#This Row],[Part  '#]],Products[],3,0)</f>
        <v>Consumables</v>
      </c>
      <c r="R346" s="25">
        <f>Invoices[[#This Row],[Quantity]]*Invoices[[#This Row],[Unit Cost]]</f>
        <v>280.08</v>
      </c>
      <c r="S346" s="25">
        <f>Invoices[[#This Row],[Quantity]]*Invoices[[#This Row],[New Unit Price]]</f>
        <v>1200</v>
      </c>
      <c r="T346" s="25">
        <f>Invoices[[#This Row],[Revenue]]-Invoices[[#This Row],[Cost]]</f>
        <v>919.92000000000007</v>
      </c>
      <c r="U346" s="25" t="str">
        <f>TEXT(Invoices[[#This Row],[Date]],"MMM")</f>
        <v>Sep</v>
      </c>
      <c r="V346" s="29">
        <f>CHOOSE(MONTH(Invoices[[#This Row],[Date]]),1,1,1,2,2,2,3,3,3,4,4,4)</f>
        <v>3</v>
      </c>
      <c r="W346" s="30">
        <f>IFERROR(Invoices[[#This Row],[Profit]]/Invoices[[#This Row],[Revenue]],0)</f>
        <v>0.76660000000000006</v>
      </c>
    </row>
    <row r="347" spans="1:23" x14ac:dyDescent="0.3">
      <c r="A347" s="19" t="s">
        <v>5</v>
      </c>
      <c r="B347" s="9">
        <v>22911</v>
      </c>
      <c r="C347" s="15">
        <v>41532</v>
      </c>
      <c r="D347" s="9">
        <v>110</v>
      </c>
      <c r="E347" s="10" t="s">
        <v>75</v>
      </c>
      <c r="F347" s="8">
        <v>4</v>
      </c>
      <c r="G347" s="10"/>
      <c r="H347" s="4" t="s">
        <v>125</v>
      </c>
      <c r="I347" s="4" t="s">
        <v>40</v>
      </c>
      <c r="J347" s="4">
        <v>24</v>
      </c>
      <c r="K347" s="23">
        <v>30</v>
      </c>
      <c r="L347">
        <f>IF(Invoices[[#This Row],[Document Type]]="Return",Invoices[[#This Row],[Unit Price]]*-1,Invoices[[#This Row],[Unit Price]])</f>
        <v>30</v>
      </c>
      <c r="M347" t="str">
        <f>IF(Invoices[[#This Row],[New Unit Price]]&lt;0,"Return",
IF(Invoices[[#This Row],[New Unit Price]]=0,"Free",IF(Invoices[[#This Row],[New Unit Price]]&lt;100,"Basic","Premium")))</f>
        <v>Basic</v>
      </c>
      <c r="N347">
        <f>VLOOKUP(Invoices[[#This Row],[Part  '#]],Products[],4,0)</f>
        <v>6.9</v>
      </c>
      <c r="O347" t="str">
        <f>VLOOKUP(Invoices[[#This Row],[Customer Account]],Customers[],4,0)</f>
        <v>Automotive</v>
      </c>
      <c r="P347" t="str">
        <f>VLOOKUP(Invoices[[#This Row],[Customer Account]],Customers[],3,0)</f>
        <v>Alabama</v>
      </c>
      <c r="Q347" t="str">
        <f>VLOOKUP(Invoices[[#This Row],[Part  '#]],Products[],3,0)</f>
        <v>Consumables</v>
      </c>
      <c r="R347" s="25">
        <f>Invoices[[#This Row],[Quantity]]*Invoices[[#This Row],[Unit Cost]]</f>
        <v>165.60000000000002</v>
      </c>
      <c r="S347" s="25">
        <f>Invoices[[#This Row],[Quantity]]*Invoices[[#This Row],[New Unit Price]]</f>
        <v>720</v>
      </c>
      <c r="T347" s="25">
        <f>Invoices[[#This Row],[Revenue]]-Invoices[[#This Row],[Cost]]</f>
        <v>554.4</v>
      </c>
      <c r="U347" s="25" t="str">
        <f>TEXT(Invoices[[#This Row],[Date]],"MMM")</f>
        <v>Sep</v>
      </c>
      <c r="V347" s="29">
        <f>CHOOSE(MONTH(Invoices[[#This Row],[Date]]),1,1,1,2,2,2,3,3,3,4,4,4)</f>
        <v>3</v>
      </c>
      <c r="W347" s="30">
        <f>IFERROR(Invoices[[#This Row],[Profit]]/Invoices[[#This Row],[Revenue]],0)</f>
        <v>0.77</v>
      </c>
    </row>
    <row r="348" spans="1:23" x14ac:dyDescent="0.3">
      <c r="A348" s="19" t="s">
        <v>141</v>
      </c>
      <c r="B348" s="9">
        <v>22912</v>
      </c>
      <c r="C348" s="15">
        <v>41532</v>
      </c>
      <c r="D348" s="9">
        <v>101</v>
      </c>
      <c r="E348" s="10" t="s">
        <v>61</v>
      </c>
      <c r="F348" s="9">
        <v>1</v>
      </c>
      <c r="G348" s="10" t="s">
        <v>144</v>
      </c>
      <c r="H348" s="9" t="s">
        <v>120</v>
      </c>
      <c r="I348" s="4" t="s">
        <v>54</v>
      </c>
      <c r="J348" s="4">
        <v>1</v>
      </c>
      <c r="K348" s="23">
        <v>250</v>
      </c>
      <c r="L348">
        <f>IF(Invoices[[#This Row],[Document Type]]="Return",Invoices[[#This Row],[Unit Price]]*-1,Invoices[[#This Row],[Unit Price]])</f>
        <v>-250</v>
      </c>
      <c r="M348" t="str">
        <f>IF(Invoices[[#This Row],[New Unit Price]]&lt;0,"Return",
IF(Invoices[[#This Row],[New Unit Price]]=0,"Free",IF(Invoices[[#This Row],[New Unit Price]]&lt;100,"Basic","Premium")))</f>
        <v>Return</v>
      </c>
      <c r="N348">
        <f>VLOOKUP(Invoices[[#This Row],[Part  '#]],Products[],4,0)</f>
        <v>89.7</v>
      </c>
      <c r="O348" t="str">
        <f>VLOOKUP(Invoices[[#This Row],[Customer Account]],Customers[],4,0)</f>
        <v>Automotive</v>
      </c>
      <c r="P348" t="str">
        <f>VLOOKUP(Invoices[[#This Row],[Customer Account]],Customers[],3,0)</f>
        <v>Georgia</v>
      </c>
      <c r="Q348" t="str">
        <f>VLOOKUP(Invoices[[#This Row],[Part  '#]],Products[],3,0)</f>
        <v>Accessories</v>
      </c>
      <c r="R348" s="25">
        <f>Invoices[[#This Row],[Quantity]]*Invoices[[#This Row],[Unit Cost]]</f>
        <v>89.7</v>
      </c>
      <c r="S348" s="25">
        <f>Invoices[[#This Row],[Quantity]]*Invoices[[#This Row],[New Unit Price]]</f>
        <v>-250</v>
      </c>
      <c r="T348" s="25">
        <f>Invoices[[#This Row],[Revenue]]-Invoices[[#This Row],[Cost]]</f>
        <v>-339.7</v>
      </c>
      <c r="U348" s="25" t="str">
        <f>TEXT(Invoices[[#This Row],[Date]],"MMM")</f>
        <v>Sep</v>
      </c>
      <c r="V348" s="29">
        <f>CHOOSE(MONTH(Invoices[[#This Row],[Date]]),1,1,1,2,2,2,3,3,3,4,4,4)</f>
        <v>3</v>
      </c>
      <c r="W348" s="30">
        <f>IFERROR(Invoices[[#This Row],[Profit]]/Invoices[[#This Row],[Revenue]],0)</f>
        <v>1.3588</v>
      </c>
    </row>
    <row r="349" spans="1:23" x14ac:dyDescent="0.3">
      <c r="A349" s="19" t="s">
        <v>5</v>
      </c>
      <c r="B349" s="9">
        <v>22913</v>
      </c>
      <c r="C349" s="15">
        <v>41544</v>
      </c>
      <c r="D349" s="9">
        <v>106</v>
      </c>
      <c r="E349" s="10" t="s">
        <v>69</v>
      </c>
      <c r="F349" s="8">
        <v>1</v>
      </c>
      <c r="G349" s="10"/>
      <c r="H349" s="4" t="s">
        <v>92</v>
      </c>
      <c r="I349" s="4" t="s">
        <v>10</v>
      </c>
      <c r="J349" s="4">
        <v>1</v>
      </c>
      <c r="K349" s="23">
        <v>1500</v>
      </c>
      <c r="L349">
        <f>IF(Invoices[[#This Row],[Document Type]]="Return",Invoices[[#This Row],[Unit Price]]*-1,Invoices[[#This Row],[Unit Price]])</f>
        <v>1500</v>
      </c>
      <c r="M349" t="str">
        <f>IF(Invoices[[#This Row],[New Unit Price]]&lt;0,"Return",
IF(Invoices[[#This Row],[New Unit Price]]=0,"Free",IF(Invoices[[#This Row],[New Unit Price]]&lt;100,"Basic","Premium")))</f>
        <v>Premium</v>
      </c>
      <c r="N349">
        <f>VLOOKUP(Invoices[[#This Row],[Part  '#]],Products[],4,0)</f>
        <v>899.1</v>
      </c>
      <c r="O349" t="str">
        <f>VLOOKUP(Invoices[[#This Row],[Customer Account]],Customers[],4,0)</f>
        <v>Automotive</v>
      </c>
      <c r="P349" t="str">
        <f>VLOOKUP(Invoices[[#This Row],[Customer Account]],Customers[],3,0)</f>
        <v>Tennessee</v>
      </c>
      <c r="Q349" t="str">
        <f>VLOOKUP(Invoices[[#This Row],[Part  '#]],Products[],3,0)</f>
        <v>Product</v>
      </c>
      <c r="R349" s="25">
        <f>Invoices[[#This Row],[Quantity]]*Invoices[[#This Row],[Unit Cost]]</f>
        <v>899.1</v>
      </c>
      <c r="S349" s="25">
        <f>Invoices[[#This Row],[Quantity]]*Invoices[[#This Row],[New Unit Price]]</f>
        <v>1500</v>
      </c>
      <c r="T349" s="25">
        <f>Invoices[[#This Row],[Revenue]]-Invoices[[#This Row],[Cost]]</f>
        <v>600.9</v>
      </c>
      <c r="U349" s="25" t="str">
        <f>TEXT(Invoices[[#This Row],[Date]],"MMM")</f>
        <v>Sep</v>
      </c>
      <c r="V349" s="29">
        <f>CHOOSE(MONTH(Invoices[[#This Row],[Date]]),1,1,1,2,2,2,3,3,3,4,4,4)</f>
        <v>3</v>
      </c>
      <c r="W349" s="30">
        <f>IFERROR(Invoices[[#This Row],[Profit]]/Invoices[[#This Row],[Revenue]],0)</f>
        <v>0.40060000000000001</v>
      </c>
    </row>
    <row r="350" spans="1:23" x14ac:dyDescent="0.3">
      <c r="A350" s="19" t="s">
        <v>5</v>
      </c>
      <c r="B350" s="9">
        <v>22914</v>
      </c>
      <c r="C350" s="15">
        <v>41544</v>
      </c>
      <c r="D350" s="9">
        <v>119</v>
      </c>
      <c r="E350" s="10" t="s">
        <v>87</v>
      </c>
      <c r="F350" s="8">
        <v>1</v>
      </c>
      <c r="G350" s="10"/>
      <c r="H350" s="4" t="s">
        <v>108</v>
      </c>
      <c r="I350" s="4" t="s">
        <v>23</v>
      </c>
      <c r="J350" s="4">
        <v>1</v>
      </c>
      <c r="K350" s="23">
        <v>2700</v>
      </c>
      <c r="L350">
        <f>IF(Invoices[[#This Row],[Document Type]]="Return",Invoices[[#This Row],[Unit Price]]*-1,Invoices[[#This Row],[Unit Price]])</f>
        <v>2700</v>
      </c>
      <c r="M350" t="str">
        <f>IF(Invoices[[#This Row],[New Unit Price]]&lt;0,"Return",
IF(Invoices[[#This Row],[New Unit Price]]=0,"Free",IF(Invoices[[#This Row],[New Unit Price]]&lt;100,"Basic","Premium")))</f>
        <v>Premium</v>
      </c>
      <c r="N350">
        <f>VLOOKUP(Invoices[[#This Row],[Part  '#]],Products[],4,0)</f>
        <v>1440.45</v>
      </c>
      <c r="O350" t="str">
        <f>VLOOKUP(Invoices[[#This Row],[Customer Account]],Customers[],4,0)</f>
        <v>Financial</v>
      </c>
      <c r="P350" t="str">
        <f>VLOOKUP(Invoices[[#This Row],[Customer Account]],Customers[],3,0)</f>
        <v>Georgia</v>
      </c>
      <c r="Q350" t="str">
        <f>VLOOKUP(Invoices[[#This Row],[Part  '#]],Products[],3,0)</f>
        <v>Product</v>
      </c>
      <c r="R350" s="25">
        <f>Invoices[[#This Row],[Quantity]]*Invoices[[#This Row],[Unit Cost]]</f>
        <v>1440.45</v>
      </c>
      <c r="S350" s="25">
        <f>Invoices[[#This Row],[Quantity]]*Invoices[[#This Row],[New Unit Price]]</f>
        <v>2700</v>
      </c>
      <c r="T350" s="25">
        <f>Invoices[[#This Row],[Revenue]]-Invoices[[#This Row],[Cost]]</f>
        <v>1259.55</v>
      </c>
      <c r="U350" s="25" t="str">
        <f>TEXT(Invoices[[#This Row],[Date]],"MMM")</f>
        <v>Sep</v>
      </c>
      <c r="V350" s="29">
        <f>CHOOSE(MONTH(Invoices[[#This Row],[Date]]),1,1,1,2,2,2,3,3,3,4,4,4)</f>
        <v>3</v>
      </c>
      <c r="W350" s="30">
        <f>IFERROR(Invoices[[#This Row],[Profit]]/Invoices[[#This Row],[Revenue]],0)</f>
        <v>0.46649999999999997</v>
      </c>
    </row>
    <row r="351" spans="1:23" x14ac:dyDescent="0.3">
      <c r="A351" s="19" t="s">
        <v>5</v>
      </c>
      <c r="B351" s="9">
        <v>22914</v>
      </c>
      <c r="C351" s="15">
        <v>41544</v>
      </c>
      <c r="D351" s="9">
        <v>119</v>
      </c>
      <c r="E351" s="10" t="s">
        <v>87</v>
      </c>
      <c r="F351" s="8">
        <v>2</v>
      </c>
      <c r="G351" s="10"/>
      <c r="H351" s="4" t="s">
        <v>137</v>
      </c>
      <c r="I351" s="4" t="s">
        <v>31</v>
      </c>
      <c r="J351" s="4">
        <v>1</v>
      </c>
      <c r="K351" s="23">
        <v>30</v>
      </c>
      <c r="L351">
        <f>IF(Invoices[[#This Row],[Document Type]]="Return",Invoices[[#This Row],[Unit Price]]*-1,Invoices[[#This Row],[Unit Price]])</f>
        <v>30</v>
      </c>
      <c r="M351" t="str">
        <f>IF(Invoices[[#This Row],[New Unit Price]]&lt;0,"Return",
IF(Invoices[[#This Row],[New Unit Price]]=0,"Free",IF(Invoices[[#This Row],[New Unit Price]]&lt;100,"Basic","Premium")))</f>
        <v>Basic</v>
      </c>
      <c r="N351">
        <f>VLOOKUP(Invoices[[#This Row],[Part  '#]],Products[],4,0)</f>
        <v>6.3</v>
      </c>
      <c r="O351" t="str">
        <f>VLOOKUP(Invoices[[#This Row],[Customer Account]],Customers[],4,0)</f>
        <v>Financial</v>
      </c>
      <c r="P351" t="str">
        <f>VLOOKUP(Invoices[[#This Row],[Customer Account]],Customers[],3,0)</f>
        <v>Georgia</v>
      </c>
      <c r="Q351" t="str">
        <f>VLOOKUP(Invoices[[#This Row],[Part  '#]],Products[],3,0)</f>
        <v>Accessories</v>
      </c>
      <c r="R351" s="25">
        <f>Invoices[[#This Row],[Quantity]]*Invoices[[#This Row],[Unit Cost]]</f>
        <v>6.3</v>
      </c>
      <c r="S351" s="25">
        <f>Invoices[[#This Row],[Quantity]]*Invoices[[#This Row],[New Unit Price]]</f>
        <v>30</v>
      </c>
      <c r="T351" s="25">
        <f>Invoices[[#This Row],[Revenue]]-Invoices[[#This Row],[Cost]]</f>
        <v>23.7</v>
      </c>
      <c r="U351" s="25" t="str">
        <f>TEXT(Invoices[[#This Row],[Date]],"MMM")</f>
        <v>Sep</v>
      </c>
      <c r="V351" s="29">
        <f>CHOOSE(MONTH(Invoices[[#This Row],[Date]]),1,1,1,2,2,2,3,3,3,4,4,4)</f>
        <v>3</v>
      </c>
      <c r="W351" s="30">
        <f>IFERROR(Invoices[[#This Row],[Profit]]/Invoices[[#This Row],[Revenue]],0)</f>
        <v>0.78999999999999992</v>
      </c>
    </row>
    <row r="352" spans="1:23" x14ac:dyDescent="0.3">
      <c r="A352" s="19" t="s">
        <v>5</v>
      </c>
      <c r="B352" s="9">
        <v>22914</v>
      </c>
      <c r="C352" s="15">
        <v>41544</v>
      </c>
      <c r="D352" s="9">
        <v>119</v>
      </c>
      <c r="E352" s="10" t="s">
        <v>87</v>
      </c>
      <c r="F352" s="8">
        <v>3</v>
      </c>
      <c r="G352" s="10"/>
      <c r="H352" s="4" t="s">
        <v>117</v>
      </c>
      <c r="I352" s="4" t="s">
        <v>33</v>
      </c>
      <c r="J352" s="4">
        <v>1</v>
      </c>
      <c r="K352" s="23">
        <v>30</v>
      </c>
      <c r="L352">
        <f>IF(Invoices[[#This Row],[Document Type]]="Return",Invoices[[#This Row],[Unit Price]]*-1,Invoices[[#This Row],[Unit Price]])</f>
        <v>30</v>
      </c>
      <c r="M352" t="str">
        <f>IF(Invoices[[#This Row],[New Unit Price]]&lt;0,"Return",
IF(Invoices[[#This Row],[New Unit Price]]=0,"Free",IF(Invoices[[#This Row],[New Unit Price]]&lt;100,"Basic","Premium")))</f>
        <v>Basic</v>
      </c>
      <c r="N352">
        <f>VLOOKUP(Invoices[[#This Row],[Part  '#]],Products[],4,0)</f>
        <v>11.59</v>
      </c>
      <c r="O352" t="str">
        <f>VLOOKUP(Invoices[[#This Row],[Customer Account]],Customers[],4,0)</f>
        <v>Financial</v>
      </c>
      <c r="P352" t="str">
        <f>VLOOKUP(Invoices[[#This Row],[Customer Account]],Customers[],3,0)</f>
        <v>Georgia</v>
      </c>
      <c r="Q352" t="str">
        <f>VLOOKUP(Invoices[[#This Row],[Part  '#]],Products[],3,0)</f>
        <v>Accessories</v>
      </c>
      <c r="R352" s="25">
        <f>Invoices[[#This Row],[Quantity]]*Invoices[[#This Row],[Unit Cost]]</f>
        <v>11.59</v>
      </c>
      <c r="S352" s="25">
        <f>Invoices[[#This Row],[Quantity]]*Invoices[[#This Row],[New Unit Price]]</f>
        <v>30</v>
      </c>
      <c r="T352" s="25">
        <f>Invoices[[#This Row],[Revenue]]-Invoices[[#This Row],[Cost]]</f>
        <v>18.41</v>
      </c>
      <c r="U352" s="25" t="str">
        <f>TEXT(Invoices[[#This Row],[Date]],"MMM")</f>
        <v>Sep</v>
      </c>
      <c r="V352" s="29">
        <f>CHOOSE(MONTH(Invoices[[#This Row],[Date]]),1,1,1,2,2,2,3,3,3,4,4,4)</f>
        <v>3</v>
      </c>
      <c r="W352" s="30">
        <f>IFERROR(Invoices[[#This Row],[Profit]]/Invoices[[#This Row],[Revenue]],0)</f>
        <v>0.61366666666666669</v>
      </c>
    </row>
    <row r="353" spans="1:23" x14ac:dyDescent="0.3">
      <c r="A353" s="19" t="s">
        <v>5</v>
      </c>
      <c r="B353" s="9">
        <v>22914</v>
      </c>
      <c r="C353" s="15">
        <v>41544</v>
      </c>
      <c r="D353" s="9">
        <v>119</v>
      </c>
      <c r="E353" s="10" t="s">
        <v>87</v>
      </c>
      <c r="F353" s="8">
        <v>4</v>
      </c>
      <c r="G353" s="10"/>
      <c r="H353" s="4" t="s">
        <v>119</v>
      </c>
      <c r="I353" s="4" t="s">
        <v>43</v>
      </c>
      <c r="J353" s="4">
        <v>1</v>
      </c>
      <c r="K353" s="23">
        <v>60</v>
      </c>
      <c r="L353">
        <f>IF(Invoices[[#This Row],[Document Type]]="Return",Invoices[[#This Row],[Unit Price]]*-1,Invoices[[#This Row],[Unit Price]])</f>
        <v>60</v>
      </c>
      <c r="M353" t="str">
        <f>IF(Invoices[[#This Row],[New Unit Price]]&lt;0,"Return",
IF(Invoices[[#This Row],[New Unit Price]]=0,"Free",IF(Invoices[[#This Row],[New Unit Price]]&lt;100,"Basic","Premium")))</f>
        <v>Basic</v>
      </c>
      <c r="N353">
        <f>VLOOKUP(Invoices[[#This Row],[Part  '#]],Products[],4,0)</f>
        <v>17.22</v>
      </c>
      <c r="O353" t="str">
        <f>VLOOKUP(Invoices[[#This Row],[Customer Account]],Customers[],4,0)</f>
        <v>Financial</v>
      </c>
      <c r="P353" t="str">
        <f>VLOOKUP(Invoices[[#This Row],[Customer Account]],Customers[],3,0)</f>
        <v>Georgia</v>
      </c>
      <c r="Q353" t="str">
        <f>VLOOKUP(Invoices[[#This Row],[Part  '#]],Products[],3,0)</f>
        <v>Accessories</v>
      </c>
      <c r="R353" s="25">
        <f>Invoices[[#This Row],[Quantity]]*Invoices[[#This Row],[Unit Cost]]</f>
        <v>17.22</v>
      </c>
      <c r="S353" s="25">
        <f>Invoices[[#This Row],[Quantity]]*Invoices[[#This Row],[New Unit Price]]</f>
        <v>60</v>
      </c>
      <c r="T353" s="25">
        <f>Invoices[[#This Row],[Revenue]]-Invoices[[#This Row],[Cost]]</f>
        <v>42.78</v>
      </c>
      <c r="U353" s="25" t="str">
        <f>TEXT(Invoices[[#This Row],[Date]],"MMM")</f>
        <v>Sep</v>
      </c>
      <c r="V353" s="29">
        <f>CHOOSE(MONTH(Invoices[[#This Row],[Date]]),1,1,1,2,2,2,3,3,3,4,4,4)</f>
        <v>3</v>
      </c>
      <c r="W353" s="30">
        <f>IFERROR(Invoices[[#This Row],[Profit]]/Invoices[[#This Row],[Revenue]],0)</f>
        <v>0.71299999999999997</v>
      </c>
    </row>
    <row r="354" spans="1:23" x14ac:dyDescent="0.3">
      <c r="A354" s="19" t="s">
        <v>5</v>
      </c>
      <c r="B354" s="9">
        <v>22915</v>
      </c>
      <c r="C354" s="15">
        <v>41547</v>
      </c>
      <c r="D354" s="9">
        <v>111</v>
      </c>
      <c r="E354" s="10" t="s">
        <v>77</v>
      </c>
      <c r="F354" s="8">
        <v>1</v>
      </c>
      <c r="G354" s="10"/>
      <c r="H354" s="4" t="s">
        <v>133</v>
      </c>
      <c r="I354" s="4" t="s">
        <v>50</v>
      </c>
      <c r="J354" s="4">
        <v>20</v>
      </c>
      <c r="K354" s="23">
        <v>40</v>
      </c>
      <c r="L354">
        <f>IF(Invoices[[#This Row],[Document Type]]="Return",Invoices[[#This Row],[Unit Price]]*-1,Invoices[[#This Row],[Unit Price]])</f>
        <v>40</v>
      </c>
      <c r="M354" t="str">
        <f>IF(Invoices[[#This Row],[New Unit Price]]&lt;0,"Return",
IF(Invoices[[#This Row],[New Unit Price]]=0,"Free",IF(Invoices[[#This Row],[New Unit Price]]&lt;100,"Basic","Premium")))</f>
        <v>Basic</v>
      </c>
      <c r="N354">
        <f>VLOOKUP(Invoices[[#This Row],[Part  '#]],Products[],4,0)</f>
        <v>5.4</v>
      </c>
      <c r="O354" t="str">
        <f>VLOOKUP(Invoices[[#This Row],[Customer Account]],Customers[],4,0)</f>
        <v>Automotive</v>
      </c>
      <c r="P354" t="str">
        <f>VLOOKUP(Invoices[[#This Row],[Customer Account]],Customers[],3,0)</f>
        <v>Alabama</v>
      </c>
      <c r="Q354" t="str">
        <f>VLOOKUP(Invoices[[#This Row],[Part  '#]],Products[],3,0)</f>
        <v>Consumables</v>
      </c>
      <c r="R354" s="25">
        <f>Invoices[[#This Row],[Quantity]]*Invoices[[#This Row],[Unit Cost]]</f>
        <v>108</v>
      </c>
      <c r="S354" s="25">
        <f>Invoices[[#This Row],[Quantity]]*Invoices[[#This Row],[New Unit Price]]</f>
        <v>800</v>
      </c>
      <c r="T354" s="25">
        <f>Invoices[[#This Row],[Revenue]]-Invoices[[#This Row],[Cost]]</f>
        <v>692</v>
      </c>
      <c r="U354" s="25" t="str">
        <f>TEXT(Invoices[[#This Row],[Date]],"MMM")</f>
        <v>Sep</v>
      </c>
      <c r="V354" s="29">
        <f>CHOOSE(MONTH(Invoices[[#This Row],[Date]]),1,1,1,2,2,2,3,3,3,4,4,4)</f>
        <v>3</v>
      </c>
      <c r="W354" s="30">
        <f>IFERROR(Invoices[[#This Row],[Profit]]/Invoices[[#This Row],[Revenue]],0)</f>
        <v>0.86499999999999999</v>
      </c>
    </row>
    <row r="355" spans="1:23" x14ac:dyDescent="0.3">
      <c r="A355" s="19" t="s">
        <v>5</v>
      </c>
      <c r="B355" s="9">
        <v>22915</v>
      </c>
      <c r="C355" s="15">
        <v>41547</v>
      </c>
      <c r="D355" s="9">
        <v>111</v>
      </c>
      <c r="E355" s="10" t="s">
        <v>77</v>
      </c>
      <c r="F355" s="8">
        <v>2</v>
      </c>
      <c r="G355" s="10"/>
      <c r="H355" s="4" t="s">
        <v>134</v>
      </c>
      <c r="I355" s="4" t="s">
        <v>51</v>
      </c>
      <c r="J355" s="4">
        <v>20</v>
      </c>
      <c r="K355" s="23">
        <v>70</v>
      </c>
      <c r="L355">
        <f>IF(Invoices[[#This Row],[Document Type]]="Return",Invoices[[#This Row],[Unit Price]]*-1,Invoices[[#This Row],[Unit Price]])</f>
        <v>70</v>
      </c>
      <c r="M355" t="str">
        <f>IF(Invoices[[#This Row],[New Unit Price]]&lt;0,"Return",
IF(Invoices[[#This Row],[New Unit Price]]=0,"Free",IF(Invoices[[#This Row],[New Unit Price]]&lt;100,"Basic","Premium")))</f>
        <v>Basic</v>
      </c>
      <c r="N355">
        <f>VLOOKUP(Invoices[[#This Row],[Part  '#]],Products[],4,0)</f>
        <v>8.3699999999999992</v>
      </c>
      <c r="O355" t="str">
        <f>VLOOKUP(Invoices[[#This Row],[Customer Account]],Customers[],4,0)</f>
        <v>Automotive</v>
      </c>
      <c r="P355" t="str">
        <f>VLOOKUP(Invoices[[#This Row],[Customer Account]],Customers[],3,0)</f>
        <v>Alabama</v>
      </c>
      <c r="Q355" t="str">
        <f>VLOOKUP(Invoices[[#This Row],[Part  '#]],Products[],3,0)</f>
        <v>Consumables</v>
      </c>
      <c r="R355" s="25">
        <f>Invoices[[#This Row],[Quantity]]*Invoices[[#This Row],[Unit Cost]]</f>
        <v>167.39999999999998</v>
      </c>
      <c r="S355" s="25">
        <f>Invoices[[#This Row],[Quantity]]*Invoices[[#This Row],[New Unit Price]]</f>
        <v>1400</v>
      </c>
      <c r="T355" s="25">
        <f>Invoices[[#This Row],[Revenue]]-Invoices[[#This Row],[Cost]]</f>
        <v>1232.5999999999999</v>
      </c>
      <c r="U355" s="25" t="str">
        <f>TEXT(Invoices[[#This Row],[Date]],"MMM")</f>
        <v>Sep</v>
      </c>
      <c r="V355" s="29">
        <f>CHOOSE(MONTH(Invoices[[#This Row],[Date]]),1,1,1,2,2,2,3,3,3,4,4,4)</f>
        <v>3</v>
      </c>
      <c r="W355" s="30">
        <f>IFERROR(Invoices[[#This Row],[Profit]]/Invoices[[#This Row],[Revenue]],0)</f>
        <v>0.88042857142857134</v>
      </c>
    </row>
    <row r="356" spans="1:23" x14ac:dyDescent="0.3">
      <c r="A356" s="19" t="s">
        <v>141</v>
      </c>
      <c r="B356" s="9">
        <v>22916</v>
      </c>
      <c r="C356" s="15">
        <v>41547</v>
      </c>
      <c r="D356" s="9">
        <v>119</v>
      </c>
      <c r="E356" s="10" t="s">
        <v>87</v>
      </c>
      <c r="F356" s="9">
        <v>1</v>
      </c>
      <c r="G356" s="10" t="s">
        <v>145</v>
      </c>
      <c r="H356" s="9" t="s">
        <v>108</v>
      </c>
      <c r="I356" s="4" t="s">
        <v>23</v>
      </c>
      <c r="J356" s="4">
        <v>1</v>
      </c>
      <c r="K356" s="23">
        <v>2700</v>
      </c>
      <c r="L356">
        <f>IF(Invoices[[#This Row],[Document Type]]="Return",Invoices[[#This Row],[Unit Price]]*-1,Invoices[[#This Row],[Unit Price]])</f>
        <v>-2700</v>
      </c>
      <c r="M356" t="str">
        <f>IF(Invoices[[#This Row],[New Unit Price]]&lt;0,"Return",
IF(Invoices[[#This Row],[New Unit Price]]=0,"Free",IF(Invoices[[#This Row],[New Unit Price]]&lt;100,"Basic","Premium")))</f>
        <v>Return</v>
      </c>
      <c r="N356">
        <f>VLOOKUP(Invoices[[#This Row],[Part  '#]],Products[],4,0)</f>
        <v>1440.45</v>
      </c>
      <c r="O356" t="str">
        <f>VLOOKUP(Invoices[[#This Row],[Customer Account]],Customers[],4,0)</f>
        <v>Financial</v>
      </c>
      <c r="P356" t="str">
        <f>VLOOKUP(Invoices[[#This Row],[Customer Account]],Customers[],3,0)</f>
        <v>Georgia</v>
      </c>
      <c r="Q356" t="str">
        <f>VLOOKUP(Invoices[[#This Row],[Part  '#]],Products[],3,0)</f>
        <v>Product</v>
      </c>
      <c r="R356" s="25">
        <f>Invoices[[#This Row],[Quantity]]*Invoices[[#This Row],[Unit Cost]]</f>
        <v>1440.45</v>
      </c>
      <c r="S356" s="25">
        <f>Invoices[[#This Row],[Quantity]]*Invoices[[#This Row],[New Unit Price]]</f>
        <v>-2700</v>
      </c>
      <c r="T356" s="25">
        <f>Invoices[[#This Row],[Revenue]]-Invoices[[#This Row],[Cost]]</f>
        <v>-4140.45</v>
      </c>
      <c r="U356" s="25" t="str">
        <f>TEXT(Invoices[[#This Row],[Date]],"MMM")</f>
        <v>Sep</v>
      </c>
      <c r="V356" s="29">
        <f>CHOOSE(MONTH(Invoices[[#This Row],[Date]]),1,1,1,2,2,2,3,3,3,4,4,4)</f>
        <v>3</v>
      </c>
      <c r="W356" s="30">
        <f>IFERROR(Invoices[[#This Row],[Profit]]/Invoices[[#This Row],[Revenue]],0)</f>
        <v>1.5334999999999999</v>
      </c>
    </row>
    <row r="357" spans="1:23" x14ac:dyDescent="0.3">
      <c r="A357" s="19" t="s">
        <v>5</v>
      </c>
      <c r="B357" s="9">
        <v>22917</v>
      </c>
      <c r="C357" s="15">
        <v>41547</v>
      </c>
      <c r="D357" s="9">
        <v>119</v>
      </c>
      <c r="E357" s="10" t="s">
        <v>87</v>
      </c>
      <c r="F357" s="9">
        <v>1</v>
      </c>
      <c r="G357" s="10"/>
      <c r="H357" s="9" t="s">
        <v>108</v>
      </c>
      <c r="I357" s="4" t="s">
        <v>23</v>
      </c>
      <c r="J357" s="4">
        <v>1</v>
      </c>
      <c r="K357" s="23">
        <v>2700</v>
      </c>
      <c r="L357">
        <f>IF(Invoices[[#This Row],[Document Type]]="Return",Invoices[[#This Row],[Unit Price]]*-1,Invoices[[#This Row],[Unit Price]])</f>
        <v>2700</v>
      </c>
      <c r="M357" t="str">
        <f>IF(Invoices[[#This Row],[New Unit Price]]&lt;0,"Return",
IF(Invoices[[#This Row],[New Unit Price]]=0,"Free",IF(Invoices[[#This Row],[New Unit Price]]&lt;100,"Basic","Premium")))</f>
        <v>Premium</v>
      </c>
      <c r="N357">
        <f>VLOOKUP(Invoices[[#This Row],[Part  '#]],Products[],4,0)</f>
        <v>1440.45</v>
      </c>
      <c r="O357" t="str">
        <f>VLOOKUP(Invoices[[#This Row],[Customer Account]],Customers[],4,0)</f>
        <v>Financial</v>
      </c>
      <c r="P357" t="str">
        <f>VLOOKUP(Invoices[[#This Row],[Customer Account]],Customers[],3,0)</f>
        <v>Georgia</v>
      </c>
      <c r="Q357" t="str">
        <f>VLOOKUP(Invoices[[#This Row],[Part  '#]],Products[],3,0)</f>
        <v>Product</v>
      </c>
      <c r="R357" s="25">
        <f>Invoices[[#This Row],[Quantity]]*Invoices[[#This Row],[Unit Cost]]</f>
        <v>1440.45</v>
      </c>
      <c r="S357" s="25">
        <f>Invoices[[#This Row],[Quantity]]*Invoices[[#This Row],[New Unit Price]]</f>
        <v>2700</v>
      </c>
      <c r="T357" s="25">
        <f>Invoices[[#This Row],[Revenue]]-Invoices[[#This Row],[Cost]]</f>
        <v>1259.55</v>
      </c>
      <c r="U357" s="25" t="str">
        <f>TEXT(Invoices[[#This Row],[Date]],"MMM")</f>
        <v>Sep</v>
      </c>
      <c r="V357" s="29">
        <f>CHOOSE(MONTH(Invoices[[#This Row],[Date]]),1,1,1,2,2,2,3,3,3,4,4,4)</f>
        <v>3</v>
      </c>
      <c r="W357" s="30">
        <f>IFERROR(Invoices[[#This Row],[Profit]]/Invoices[[#This Row],[Revenue]],0)</f>
        <v>0.46649999999999997</v>
      </c>
    </row>
    <row r="358" spans="1:23" x14ac:dyDescent="0.3">
      <c r="A358" s="19" t="s">
        <v>5</v>
      </c>
      <c r="B358" s="9">
        <v>22918</v>
      </c>
      <c r="C358" s="15">
        <v>41548</v>
      </c>
      <c r="D358" s="9">
        <v>101</v>
      </c>
      <c r="E358" s="10" t="s">
        <v>61</v>
      </c>
      <c r="F358" s="8">
        <v>1</v>
      </c>
      <c r="G358" s="10"/>
      <c r="H358" s="4" t="s">
        <v>125</v>
      </c>
      <c r="I358" s="4" t="s">
        <v>40</v>
      </c>
      <c r="J358" s="4">
        <v>250</v>
      </c>
      <c r="K358" s="23">
        <v>24</v>
      </c>
      <c r="L358">
        <f>IF(Invoices[[#This Row],[Document Type]]="Return",Invoices[[#This Row],[Unit Price]]*-1,Invoices[[#This Row],[Unit Price]])</f>
        <v>24</v>
      </c>
      <c r="M358" t="str">
        <f>IF(Invoices[[#This Row],[New Unit Price]]&lt;0,"Return",
IF(Invoices[[#This Row],[New Unit Price]]=0,"Free",IF(Invoices[[#This Row],[New Unit Price]]&lt;100,"Basic","Premium")))</f>
        <v>Basic</v>
      </c>
      <c r="N358">
        <f>VLOOKUP(Invoices[[#This Row],[Part  '#]],Products[],4,0)</f>
        <v>6.9</v>
      </c>
      <c r="O358" t="str">
        <f>VLOOKUP(Invoices[[#This Row],[Customer Account]],Customers[],4,0)</f>
        <v>Automotive</v>
      </c>
      <c r="P358" t="str">
        <f>VLOOKUP(Invoices[[#This Row],[Customer Account]],Customers[],3,0)</f>
        <v>Georgia</v>
      </c>
      <c r="Q358" t="str">
        <f>VLOOKUP(Invoices[[#This Row],[Part  '#]],Products[],3,0)</f>
        <v>Consumables</v>
      </c>
      <c r="R358" s="25">
        <f>Invoices[[#This Row],[Quantity]]*Invoices[[#This Row],[Unit Cost]]</f>
        <v>1725</v>
      </c>
      <c r="S358" s="25">
        <f>Invoices[[#This Row],[Quantity]]*Invoices[[#This Row],[New Unit Price]]</f>
        <v>6000</v>
      </c>
      <c r="T358" s="25">
        <f>Invoices[[#This Row],[Revenue]]-Invoices[[#This Row],[Cost]]</f>
        <v>4275</v>
      </c>
      <c r="U358" s="25" t="str">
        <f>TEXT(Invoices[[#This Row],[Date]],"MMM")</f>
        <v>Oct</v>
      </c>
      <c r="V358" s="29">
        <f>CHOOSE(MONTH(Invoices[[#This Row],[Date]]),1,1,1,2,2,2,3,3,3,4,4,4)</f>
        <v>4</v>
      </c>
      <c r="W358" s="30">
        <f>IFERROR(Invoices[[#This Row],[Profit]]/Invoices[[#This Row],[Revenue]],0)</f>
        <v>0.71250000000000002</v>
      </c>
    </row>
    <row r="359" spans="1:23" x14ac:dyDescent="0.3">
      <c r="A359" s="19" t="s">
        <v>5</v>
      </c>
      <c r="B359" s="9">
        <v>22918</v>
      </c>
      <c r="C359" s="15">
        <v>41548</v>
      </c>
      <c r="D359" s="9">
        <v>101</v>
      </c>
      <c r="E359" s="10" t="s">
        <v>61</v>
      </c>
      <c r="F359" s="8">
        <v>2</v>
      </c>
      <c r="G359" s="10"/>
      <c r="H359" s="4" t="s">
        <v>132</v>
      </c>
      <c r="I359" s="4" t="s">
        <v>49</v>
      </c>
      <c r="J359" s="4">
        <v>25</v>
      </c>
      <c r="K359" s="23">
        <v>70</v>
      </c>
      <c r="L359">
        <f>IF(Invoices[[#This Row],[Document Type]]="Return",Invoices[[#This Row],[Unit Price]]*-1,Invoices[[#This Row],[Unit Price]])</f>
        <v>70</v>
      </c>
      <c r="M359" t="str">
        <f>IF(Invoices[[#This Row],[New Unit Price]]&lt;0,"Return",
IF(Invoices[[#This Row],[New Unit Price]]=0,"Free",IF(Invoices[[#This Row],[New Unit Price]]&lt;100,"Basic","Premium")))</f>
        <v>Basic</v>
      </c>
      <c r="N359">
        <f>VLOOKUP(Invoices[[#This Row],[Part  '#]],Products[],4,0)</f>
        <v>13.92</v>
      </c>
      <c r="O359" t="str">
        <f>VLOOKUP(Invoices[[#This Row],[Customer Account]],Customers[],4,0)</f>
        <v>Automotive</v>
      </c>
      <c r="P359" t="str">
        <f>VLOOKUP(Invoices[[#This Row],[Customer Account]],Customers[],3,0)</f>
        <v>Georgia</v>
      </c>
      <c r="Q359" t="str">
        <f>VLOOKUP(Invoices[[#This Row],[Part  '#]],Products[],3,0)</f>
        <v>Consumables</v>
      </c>
      <c r="R359" s="25">
        <f>Invoices[[#This Row],[Quantity]]*Invoices[[#This Row],[Unit Cost]]</f>
        <v>348</v>
      </c>
      <c r="S359" s="25">
        <f>Invoices[[#This Row],[Quantity]]*Invoices[[#This Row],[New Unit Price]]</f>
        <v>1750</v>
      </c>
      <c r="T359" s="25">
        <f>Invoices[[#This Row],[Revenue]]-Invoices[[#This Row],[Cost]]</f>
        <v>1402</v>
      </c>
      <c r="U359" s="25" t="str">
        <f>TEXT(Invoices[[#This Row],[Date]],"MMM")</f>
        <v>Oct</v>
      </c>
      <c r="V359" s="29">
        <f>CHOOSE(MONTH(Invoices[[#This Row],[Date]]),1,1,1,2,2,2,3,3,3,4,4,4)</f>
        <v>4</v>
      </c>
      <c r="W359" s="30">
        <f>IFERROR(Invoices[[#This Row],[Profit]]/Invoices[[#This Row],[Revenue]],0)</f>
        <v>0.80114285714285716</v>
      </c>
    </row>
    <row r="360" spans="1:23" x14ac:dyDescent="0.3">
      <c r="A360" s="19" t="s">
        <v>5</v>
      </c>
      <c r="B360" s="9">
        <v>22919</v>
      </c>
      <c r="C360" s="15">
        <v>41548</v>
      </c>
      <c r="D360" s="9">
        <v>102</v>
      </c>
      <c r="E360" s="10" t="s">
        <v>63</v>
      </c>
      <c r="F360" s="8">
        <v>1</v>
      </c>
      <c r="G360" s="10"/>
      <c r="H360" s="4" t="s">
        <v>124</v>
      </c>
      <c r="I360" s="4" t="s">
        <v>39</v>
      </c>
      <c r="J360" s="4">
        <v>40</v>
      </c>
      <c r="K360" s="23">
        <v>35</v>
      </c>
      <c r="L360">
        <f>IF(Invoices[[#This Row],[Document Type]]="Return",Invoices[[#This Row],[Unit Price]]*-1,Invoices[[#This Row],[Unit Price]])</f>
        <v>35</v>
      </c>
      <c r="M360" t="str">
        <f>IF(Invoices[[#This Row],[New Unit Price]]&lt;0,"Return",
IF(Invoices[[#This Row],[New Unit Price]]=0,"Free",IF(Invoices[[#This Row],[New Unit Price]]&lt;100,"Basic","Premium")))</f>
        <v>Basic</v>
      </c>
      <c r="N360">
        <f>VLOOKUP(Invoices[[#This Row],[Part  '#]],Products[],4,0)</f>
        <v>6.37</v>
      </c>
      <c r="O360" t="str">
        <f>VLOOKUP(Invoices[[#This Row],[Customer Account]],Customers[],4,0)</f>
        <v>Automotive</v>
      </c>
      <c r="P360" t="str">
        <f>VLOOKUP(Invoices[[#This Row],[Customer Account]],Customers[],3,0)</f>
        <v>Georgia</v>
      </c>
      <c r="Q360" t="str">
        <f>VLOOKUP(Invoices[[#This Row],[Part  '#]],Products[],3,0)</f>
        <v>Consumables</v>
      </c>
      <c r="R360" s="25">
        <f>Invoices[[#This Row],[Quantity]]*Invoices[[#This Row],[Unit Cost]]</f>
        <v>254.8</v>
      </c>
      <c r="S360" s="25">
        <f>Invoices[[#This Row],[Quantity]]*Invoices[[#This Row],[New Unit Price]]</f>
        <v>1400</v>
      </c>
      <c r="T360" s="25">
        <f>Invoices[[#This Row],[Revenue]]-Invoices[[#This Row],[Cost]]</f>
        <v>1145.2</v>
      </c>
      <c r="U360" s="25" t="str">
        <f>TEXT(Invoices[[#This Row],[Date]],"MMM")</f>
        <v>Oct</v>
      </c>
      <c r="V360" s="29">
        <f>CHOOSE(MONTH(Invoices[[#This Row],[Date]]),1,1,1,2,2,2,3,3,3,4,4,4)</f>
        <v>4</v>
      </c>
      <c r="W360" s="30">
        <f>IFERROR(Invoices[[#This Row],[Profit]]/Invoices[[#This Row],[Revenue]],0)</f>
        <v>0.81800000000000006</v>
      </c>
    </row>
    <row r="361" spans="1:23" x14ac:dyDescent="0.3">
      <c r="A361" s="19" t="s">
        <v>5</v>
      </c>
      <c r="B361" s="9">
        <v>22920</v>
      </c>
      <c r="C361" s="15">
        <v>41548</v>
      </c>
      <c r="D361" s="9">
        <v>102</v>
      </c>
      <c r="E361" s="10" t="s">
        <v>63</v>
      </c>
      <c r="F361" s="8">
        <v>1</v>
      </c>
      <c r="G361" s="10"/>
      <c r="H361" s="4" t="s">
        <v>132</v>
      </c>
      <c r="I361" s="4" t="s">
        <v>49</v>
      </c>
      <c r="J361" s="4">
        <v>5</v>
      </c>
      <c r="K361" s="23">
        <v>70</v>
      </c>
      <c r="L361">
        <f>IF(Invoices[[#This Row],[Document Type]]="Return",Invoices[[#This Row],[Unit Price]]*-1,Invoices[[#This Row],[Unit Price]])</f>
        <v>70</v>
      </c>
      <c r="M361" t="str">
        <f>IF(Invoices[[#This Row],[New Unit Price]]&lt;0,"Return",
IF(Invoices[[#This Row],[New Unit Price]]=0,"Free",IF(Invoices[[#This Row],[New Unit Price]]&lt;100,"Basic","Premium")))</f>
        <v>Basic</v>
      </c>
      <c r="N361">
        <f>VLOOKUP(Invoices[[#This Row],[Part  '#]],Products[],4,0)</f>
        <v>13.92</v>
      </c>
      <c r="O361" t="str">
        <f>VLOOKUP(Invoices[[#This Row],[Customer Account]],Customers[],4,0)</f>
        <v>Automotive</v>
      </c>
      <c r="P361" t="str">
        <f>VLOOKUP(Invoices[[#This Row],[Customer Account]],Customers[],3,0)</f>
        <v>Georgia</v>
      </c>
      <c r="Q361" t="str">
        <f>VLOOKUP(Invoices[[#This Row],[Part  '#]],Products[],3,0)</f>
        <v>Consumables</v>
      </c>
      <c r="R361" s="25">
        <f>Invoices[[#This Row],[Quantity]]*Invoices[[#This Row],[Unit Cost]]</f>
        <v>69.599999999999994</v>
      </c>
      <c r="S361" s="25">
        <f>Invoices[[#This Row],[Quantity]]*Invoices[[#This Row],[New Unit Price]]</f>
        <v>350</v>
      </c>
      <c r="T361" s="25">
        <f>Invoices[[#This Row],[Revenue]]-Invoices[[#This Row],[Cost]]</f>
        <v>280.39999999999998</v>
      </c>
      <c r="U361" s="25" t="str">
        <f>TEXT(Invoices[[#This Row],[Date]],"MMM")</f>
        <v>Oct</v>
      </c>
      <c r="V361" s="29">
        <f>CHOOSE(MONTH(Invoices[[#This Row],[Date]]),1,1,1,2,2,2,3,3,3,4,4,4)</f>
        <v>4</v>
      </c>
      <c r="W361" s="30">
        <f>IFERROR(Invoices[[#This Row],[Profit]]/Invoices[[#This Row],[Revenue]],0)</f>
        <v>0.80114285714285705</v>
      </c>
    </row>
    <row r="362" spans="1:23" x14ac:dyDescent="0.3">
      <c r="A362" s="19" t="s">
        <v>5</v>
      </c>
      <c r="B362" s="9">
        <v>22921</v>
      </c>
      <c r="C362" s="15">
        <v>41548</v>
      </c>
      <c r="D362" s="9">
        <v>105</v>
      </c>
      <c r="E362" s="10" t="s">
        <v>67</v>
      </c>
      <c r="F362" s="8">
        <v>1</v>
      </c>
      <c r="G362" s="10"/>
      <c r="H362" s="4" t="s">
        <v>125</v>
      </c>
      <c r="I362" s="4" t="s">
        <v>40</v>
      </c>
      <c r="J362" s="4">
        <v>120</v>
      </c>
      <c r="K362" s="23">
        <v>24</v>
      </c>
      <c r="L362">
        <f>IF(Invoices[[#This Row],[Document Type]]="Return",Invoices[[#This Row],[Unit Price]]*-1,Invoices[[#This Row],[Unit Price]])</f>
        <v>24</v>
      </c>
      <c r="M362" t="str">
        <f>IF(Invoices[[#This Row],[New Unit Price]]&lt;0,"Return",
IF(Invoices[[#This Row],[New Unit Price]]=0,"Free",IF(Invoices[[#This Row],[New Unit Price]]&lt;100,"Basic","Premium")))</f>
        <v>Basic</v>
      </c>
      <c r="N362">
        <f>VLOOKUP(Invoices[[#This Row],[Part  '#]],Products[],4,0)</f>
        <v>6.9</v>
      </c>
      <c r="O362" t="str">
        <f>VLOOKUP(Invoices[[#This Row],[Customer Account]],Customers[],4,0)</f>
        <v>Automotive</v>
      </c>
      <c r="P362" t="str">
        <f>VLOOKUP(Invoices[[#This Row],[Customer Account]],Customers[],3,0)</f>
        <v>South Carolina</v>
      </c>
      <c r="Q362" t="str">
        <f>VLOOKUP(Invoices[[#This Row],[Part  '#]],Products[],3,0)</f>
        <v>Consumables</v>
      </c>
      <c r="R362" s="25">
        <f>Invoices[[#This Row],[Quantity]]*Invoices[[#This Row],[Unit Cost]]</f>
        <v>828</v>
      </c>
      <c r="S362" s="25">
        <f>Invoices[[#This Row],[Quantity]]*Invoices[[#This Row],[New Unit Price]]</f>
        <v>2880</v>
      </c>
      <c r="T362" s="25">
        <f>Invoices[[#This Row],[Revenue]]-Invoices[[#This Row],[Cost]]</f>
        <v>2052</v>
      </c>
      <c r="U362" s="25" t="str">
        <f>TEXT(Invoices[[#This Row],[Date]],"MMM")</f>
        <v>Oct</v>
      </c>
      <c r="V362" s="29">
        <f>CHOOSE(MONTH(Invoices[[#This Row],[Date]]),1,1,1,2,2,2,3,3,3,4,4,4)</f>
        <v>4</v>
      </c>
      <c r="W362" s="30">
        <f>IFERROR(Invoices[[#This Row],[Profit]]/Invoices[[#This Row],[Revenue]],0)</f>
        <v>0.71250000000000002</v>
      </c>
    </row>
    <row r="363" spans="1:23" x14ac:dyDescent="0.3">
      <c r="A363" s="19" t="s">
        <v>5</v>
      </c>
      <c r="B363" s="9">
        <v>22921</v>
      </c>
      <c r="C363" s="15">
        <v>41548</v>
      </c>
      <c r="D363" s="9">
        <v>105</v>
      </c>
      <c r="E363" s="10" t="s">
        <v>67</v>
      </c>
      <c r="F363" s="8">
        <v>2</v>
      </c>
      <c r="G363" s="10"/>
      <c r="H363" s="4" t="s">
        <v>132</v>
      </c>
      <c r="I363" s="4" t="s">
        <v>49</v>
      </c>
      <c r="J363" s="4">
        <v>50</v>
      </c>
      <c r="K363" s="23">
        <v>70</v>
      </c>
      <c r="L363">
        <f>IF(Invoices[[#This Row],[Document Type]]="Return",Invoices[[#This Row],[Unit Price]]*-1,Invoices[[#This Row],[Unit Price]])</f>
        <v>70</v>
      </c>
      <c r="M363" t="str">
        <f>IF(Invoices[[#This Row],[New Unit Price]]&lt;0,"Return",
IF(Invoices[[#This Row],[New Unit Price]]=0,"Free",IF(Invoices[[#This Row],[New Unit Price]]&lt;100,"Basic","Premium")))</f>
        <v>Basic</v>
      </c>
      <c r="N363">
        <f>VLOOKUP(Invoices[[#This Row],[Part  '#]],Products[],4,0)</f>
        <v>13.92</v>
      </c>
      <c r="O363" t="str">
        <f>VLOOKUP(Invoices[[#This Row],[Customer Account]],Customers[],4,0)</f>
        <v>Automotive</v>
      </c>
      <c r="P363" t="str">
        <f>VLOOKUP(Invoices[[#This Row],[Customer Account]],Customers[],3,0)</f>
        <v>South Carolina</v>
      </c>
      <c r="Q363" t="str">
        <f>VLOOKUP(Invoices[[#This Row],[Part  '#]],Products[],3,0)</f>
        <v>Consumables</v>
      </c>
      <c r="R363" s="25">
        <f>Invoices[[#This Row],[Quantity]]*Invoices[[#This Row],[Unit Cost]]</f>
        <v>696</v>
      </c>
      <c r="S363" s="25">
        <f>Invoices[[#This Row],[Quantity]]*Invoices[[#This Row],[New Unit Price]]</f>
        <v>3500</v>
      </c>
      <c r="T363" s="25">
        <f>Invoices[[#This Row],[Revenue]]-Invoices[[#This Row],[Cost]]</f>
        <v>2804</v>
      </c>
      <c r="U363" s="25" t="str">
        <f>TEXT(Invoices[[#This Row],[Date]],"MMM")</f>
        <v>Oct</v>
      </c>
      <c r="V363" s="29">
        <f>CHOOSE(MONTH(Invoices[[#This Row],[Date]]),1,1,1,2,2,2,3,3,3,4,4,4)</f>
        <v>4</v>
      </c>
      <c r="W363" s="30">
        <f>IFERROR(Invoices[[#This Row],[Profit]]/Invoices[[#This Row],[Revenue]],0)</f>
        <v>0.80114285714285716</v>
      </c>
    </row>
    <row r="364" spans="1:23" x14ac:dyDescent="0.3">
      <c r="A364" s="19" t="s">
        <v>5</v>
      </c>
      <c r="B364" s="9">
        <v>22922</v>
      </c>
      <c r="C364" s="15">
        <v>41548</v>
      </c>
      <c r="D364" s="9">
        <v>106</v>
      </c>
      <c r="E364" s="10" t="s">
        <v>69</v>
      </c>
      <c r="F364" s="8">
        <v>1</v>
      </c>
      <c r="G364" s="10"/>
      <c r="H364" s="4" t="s">
        <v>123</v>
      </c>
      <c r="I364" s="4" t="s">
        <v>38</v>
      </c>
      <c r="J364" s="4">
        <v>80</v>
      </c>
      <c r="K364" s="23">
        <v>18</v>
      </c>
      <c r="L364">
        <f>IF(Invoices[[#This Row],[Document Type]]="Return",Invoices[[#This Row],[Unit Price]]*-1,Invoices[[#This Row],[Unit Price]])</f>
        <v>18</v>
      </c>
      <c r="M364" t="str">
        <f>IF(Invoices[[#This Row],[New Unit Price]]&lt;0,"Return",
IF(Invoices[[#This Row],[New Unit Price]]=0,"Free",IF(Invoices[[#This Row],[New Unit Price]]&lt;100,"Basic","Premium")))</f>
        <v>Basic</v>
      </c>
      <c r="N364">
        <f>VLOOKUP(Invoices[[#This Row],[Part  '#]],Products[],4,0)</f>
        <v>4.58</v>
      </c>
      <c r="O364" t="str">
        <f>VLOOKUP(Invoices[[#This Row],[Customer Account]],Customers[],4,0)</f>
        <v>Automotive</v>
      </c>
      <c r="P364" t="str">
        <f>VLOOKUP(Invoices[[#This Row],[Customer Account]],Customers[],3,0)</f>
        <v>Tennessee</v>
      </c>
      <c r="Q364" t="str">
        <f>VLOOKUP(Invoices[[#This Row],[Part  '#]],Products[],3,0)</f>
        <v>Consumables</v>
      </c>
      <c r="R364" s="25">
        <f>Invoices[[#This Row],[Quantity]]*Invoices[[#This Row],[Unit Cost]]</f>
        <v>366.4</v>
      </c>
      <c r="S364" s="25">
        <f>Invoices[[#This Row],[Quantity]]*Invoices[[#This Row],[New Unit Price]]</f>
        <v>1440</v>
      </c>
      <c r="T364" s="25">
        <f>Invoices[[#This Row],[Revenue]]-Invoices[[#This Row],[Cost]]</f>
        <v>1073.5999999999999</v>
      </c>
      <c r="U364" s="25" t="str">
        <f>TEXT(Invoices[[#This Row],[Date]],"MMM")</f>
        <v>Oct</v>
      </c>
      <c r="V364" s="29">
        <f>CHOOSE(MONTH(Invoices[[#This Row],[Date]]),1,1,1,2,2,2,3,3,3,4,4,4)</f>
        <v>4</v>
      </c>
      <c r="W364" s="30">
        <f>IFERROR(Invoices[[#This Row],[Profit]]/Invoices[[#This Row],[Revenue]],0)</f>
        <v>0.74555555555555553</v>
      </c>
    </row>
    <row r="365" spans="1:23" x14ac:dyDescent="0.3">
      <c r="A365" s="19" t="s">
        <v>5</v>
      </c>
      <c r="B365" s="9">
        <v>22922</v>
      </c>
      <c r="C365" s="15">
        <v>41548</v>
      </c>
      <c r="D365" s="9">
        <v>106</v>
      </c>
      <c r="E365" s="10" t="s">
        <v>69</v>
      </c>
      <c r="F365" s="8">
        <v>2</v>
      </c>
      <c r="G365" s="10"/>
      <c r="H365" s="4" t="s">
        <v>132</v>
      </c>
      <c r="I365" s="4" t="s">
        <v>49</v>
      </c>
      <c r="J365" s="4">
        <v>20</v>
      </c>
      <c r="K365" s="23">
        <v>70</v>
      </c>
      <c r="L365">
        <f>IF(Invoices[[#This Row],[Document Type]]="Return",Invoices[[#This Row],[Unit Price]]*-1,Invoices[[#This Row],[Unit Price]])</f>
        <v>70</v>
      </c>
      <c r="M365" t="str">
        <f>IF(Invoices[[#This Row],[New Unit Price]]&lt;0,"Return",
IF(Invoices[[#This Row],[New Unit Price]]=0,"Free",IF(Invoices[[#This Row],[New Unit Price]]&lt;100,"Basic","Premium")))</f>
        <v>Basic</v>
      </c>
      <c r="N365">
        <f>VLOOKUP(Invoices[[#This Row],[Part  '#]],Products[],4,0)</f>
        <v>13.92</v>
      </c>
      <c r="O365" t="str">
        <f>VLOOKUP(Invoices[[#This Row],[Customer Account]],Customers[],4,0)</f>
        <v>Automotive</v>
      </c>
      <c r="P365" t="str">
        <f>VLOOKUP(Invoices[[#This Row],[Customer Account]],Customers[],3,0)</f>
        <v>Tennessee</v>
      </c>
      <c r="Q365" t="str">
        <f>VLOOKUP(Invoices[[#This Row],[Part  '#]],Products[],3,0)</f>
        <v>Consumables</v>
      </c>
      <c r="R365" s="25">
        <f>Invoices[[#This Row],[Quantity]]*Invoices[[#This Row],[Unit Cost]]</f>
        <v>278.39999999999998</v>
      </c>
      <c r="S365" s="25">
        <f>Invoices[[#This Row],[Quantity]]*Invoices[[#This Row],[New Unit Price]]</f>
        <v>1400</v>
      </c>
      <c r="T365" s="25">
        <f>Invoices[[#This Row],[Revenue]]-Invoices[[#This Row],[Cost]]</f>
        <v>1121.5999999999999</v>
      </c>
      <c r="U365" s="25" t="str">
        <f>TEXT(Invoices[[#This Row],[Date]],"MMM")</f>
        <v>Oct</v>
      </c>
      <c r="V365" s="29">
        <f>CHOOSE(MONTH(Invoices[[#This Row],[Date]]),1,1,1,2,2,2,3,3,3,4,4,4)</f>
        <v>4</v>
      </c>
      <c r="W365" s="30">
        <f>IFERROR(Invoices[[#This Row],[Profit]]/Invoices[[#This Row],[Revenue]],0)</f>
        <v>0.80114285714285705</v>
      </c>
    </row>
    <row r="366" spans="1:23" x14ac:dyDescent="0.3">
      <c r="A366" s="19" t="s">
        <v>5</v>
      </c>
      <c r="B366" s="9">
        <v>22923</v>
      </c>
      <c r="C366" s="15">
        <v>41548</v>
      </c>
      <c r="D366" s="9">
        <v>107</v>
      </c>
      <c r="E366" s="10" t="s">
        <v>72</v>
      </c>
      <c r="F366" s="8">
        <v>1</v>
      </c>
      <c r="G366" s="10"/>
      <c r="H366" s="4" t="s">
        <v>125</v>
      </c>
      <c r="I366" s="4" t="s">
        <v>40</v>
      </c>
      <c r="J366" s="4">
        <v>10</v>
      </c>
      <c r="K366" s="23">
        <v>30</v>
      </c>
      <c r="L366">
        <f>IF(Invoices[[#This Row],[Document Type]]="Return",Invoices[[#This Row],[Unit Price]]*-1,Invoices[[#This Row],[Unit Price]])</f>
        <v>30</v>
      </c>
      <c r="M366" t="str">
        <f>IF(Invoices[[#This Row],[New Unit Price]]&lt;0,"Return",
IF(Invoices[[#This Row],[New Unit Price]]=0,"Free",IF(Invoices[[#This Row],[New Unit Price]]&lt;100,"Basic","Premium")))</f>
        <v>Basic</v>
      </c>
      <c r="N366">
        <f>VLOOKUP(Invoices[[#This Row],[Part  '#]],Products[],4,0)</f>
        <v>6.9</v>
      </c>
      <c r="O366" t="str">
        <f>VLOOKUP(Invoices[[#This Row],[Customer Account]],Customers[],4,0)</f>
        <v>Financial</v>
      </c>
      <c r="P366" t="str">
        <f>VLOOKUP(Invoices[[#This Row],[Customer Account]],Customers[],3,0)</f>
        <v>Georgia</v>
      </c>
      <c r="Q366" t="str">
        <f>VLOOKUP(Invoices[[#This Row],[Part  '#]],Products[],3,0)</f>
        <v>Consumables</v>
      </c>
      <c r="R366" s="25">
        <f>Invoices[[#This Row],[Quantity]]*Invoices[[#This Row],[Unit Cost]]</f>
        <v>69</v>
      </c>
      <c r="S366" s="25">
        <f>Invoices[[#This Row],[Quantity]]*Invoices[[#This Row],[New Unit Price]]</f>
        <v>300</v>
      </c>
      <c r="T366" s="25">
        <f>Invoices[[#This Row],[Revenue]]-Invoices[[#This Row],[Cost]]</f>
        <v>231</v>
      </c>
      <c r="U366" s="25" t="str">
        <f>TEXT(Invoices[[#This Row],[Date]],"MMM")</f>
        <v>Oct</v>
      </c>
      <c r="V366" s="29">
        <f>CHOOSE(MONTH(Invoices[[#This Row],[Date]]),1,1,1,2,2,2,3,3,3,4,4,4)</f>
        <v>4</v>
      </c>
      <c r="W366" s="30">
        <f>IFERROR(Invoices[[#This Row],[Profit]]/Invoices[[#This Row],[Revenue]],0)</f>
        <v>0.77</v>
      </c>
    </row>
    <row r="367" spans="1:23" x14ac:dyDescent="0.3">
      <c r="A367" s="19" t="s">
        <v>5</v>
      </c>
      <c r="B367" s="9">
        <v>22924</v>
      </c>
      <c r="C367" s="15">
        <v>41548</v>
      </c>
      <c r="D367" s="9">
        <v>107</v>
      </c>
      <c r="E367" s="10" t="s">
        <v>72</v>
      </c>
      <c r="F367" s="8">
        <v>1</v>
      </c>
      <c r="G367" s="10"/>
      <c r="H367" s="4" t="s">
        <v>135</v>
      </c>
      <c r="I367" s="4" t="s">
        <v>52</v>
      </c>
      <c r="J367" s="4">
        <v>1</v>
      </c>
      <c r="K367" s="23">
        <v>100</v>
      </c>
      <c r="L367">
        <f>IF(Invoices[[#This Row],[Document Type]]="Return",Invoices[[#This Row],[Unit Price]]*-1,Invoices[[#This Row],[Unit Price]])</f>
        <v>100</v>
      </c>
      <c r="M367" t="str">
        <f>IF(Invoices[[#This Row],[New Unit Price]]&lt;0,"Return",
IF(Invoices[[#This Row],[New Unit Price]]=0,"Free",IF(Invoices[[#This Row],[New Unit Price]]&lt;100,"Basic","Premium")))</f>
        <v>Premium</v>
      </c>
      <c r="N367">
        <f>VLOOKUP(Invoices[[#This Row],[Part  '#]],Products[],4,0)</f>
        <v>27.17</v>
      </c>
      <c r="O367" t="str">
        <f>VLOOKUP(Invoices[[#This Row],[Customer Account]],Customers[],4,0)</f>
        <v>Financial</v>
      </c>
      <c r="P367" t="str">
        <f>VLOOKUP(Invoices[[#This Row],[Customer Account]],Customers[],3,0)</f>
        <v>Georgia</v>
      </c>
      <c r="Q367" t="str">
        <f>VLOOKUP(Invoices[[#This Row],[Part  '#]],Products[],3,0)</f>
        <v>Consumables</v>
      </c>
      <c r="R367" s="25">
        <f>Invoices[[#This Row],[Quantity]]*Invoices[[#This Row],[Unit Cost]]</f>
        <v>27.17</v>
      </c>
      <c r="S367" s="25">
        <f>Invoices[[#This Row],[Quantity]]*Invoices[[#This Row],[New Unit Price]]</f>
        <v>100</v>
      </c>
      <c r="T367" s="25">
        <f>Invoices[[#This Row],[Revenue]]-Invoices[[#This Row],[Cost]]</f>
        <v>72.83</v>
      </c>
      <c r="U367" s="25" t="str">
        <f>TEXT(Invoices[[#This Row],[Date]],"MMM")</f>
        <v>Oct</v>
      </c>
      <c r="V367" s="29">
        <f>CHOOSE(MONTH(Invoices[[#This Row],[Date]]),1,1,1,2,2,2,3,3,3,4,4,4)</f>
        <v>4</v>
      </c>
      <c r="W367" s="30">
        <f>IFERROR(Invoices[[#This Row],[Profit]]/Invoices[[#This Row],[Revenue]],0)</f>
        <v>0.72829999999999995</v>
      </c>
    </row>
    <row r="368" spans="1:23" x14ac:dyDescent="0.3">
      <c r="A368" s="19" t="s">
        <v>5</v>
      </c>
      <c r="B368" s="9">
        <v>22924</v>
      </c>
      <c r="C368" s="15">
        <v>41548</v>
      </c>
      <c r="D368" s="9">
        <v>107</v>
      </c>
      <c r="E368" s="10" t="s">
        <v>72</v>
      </c>
      <c r="F368" s="8">
        <v>2</v>
      </c>
      <c r="G368" s="10"/>
      <c r="H368" s="4" t="s">
        <v>132</v>
      </c>
      <c r="I368" s="4" t="s">
        <v>49</v>
      </c>
      <c r="J368" s="4">
        <v>2</v>
      </c>
      <c r="K368" s="23">
        <v>70</v>
      </c>
      <c r="L368">
        <f>IF(Invoices[[#This Row],[Document Type]]="Return",Invoices[[#This Row],[Unit Price]]*-1,Invoices[[#This Row],[Unit Price]])</f>
        <v>70</v>
      </c>
      <c r="M368" t="str">
        <f>IF(Invoices[[#This Row],[New Unit Price]]&lt;0,"Return",
IF(Invoices[[#This Row],[New Unit Price]]=0,"Free",IF(Invoices[[#This Row],[New Unit Price]]&lt;100,"Basic","Premium")))</f>
        <v>Basic</v>
      </c>
      <c r="N368">
        <f>VLOOKUP(Invoices[[#This Row],[Part  '#]],Products[],4,0)</f>
        <v>13.92</v>
      </c>
      <c r="O368" t="str">
        <f>VLOOKUP(Invoices[[#This Row],[Customer Account]],Customers[],4,0)</f>
        <v>Financial</v>
      </c>
      <c r="P368" t="str">
        <f>VLOOKUP(Invoices[[#This Row],[Customer Account]],Customers[],3,0)</f>
        <v>Georgia</v>
      </c>
      <c r="Q368" t="str">
        <f>VLOOKUP(Invoices[[#This Row],[Part  '#]],Products[],3,0)</f>
        <v>Consumables</v>
      </c>
      <c r="R368" s="25">
        <f>Invoices[[#This Row],[Quantity]]*Invoices[[#This Row],[Unit Cost]]</f>
        <v>27.84</v>
      </c>
      <c r="S368" s="25">
        <f>Invoices[[#This Row],[Quantity]]*Invoices[[#This Row],[New Unit Price]]</f>
        <v>140</v>
      </c>
      <c r="T368" s="25">
        <f>Invoices[[#This Row],[Revenue]]-Invoices[[#This Row],[Cost]]</f>
        <v>112.16</v>
      </c>
      <c r="U368" s="25" t="str">
        <f>TEXT(Invoices[[#This Row],[Date]],"MMM")</f>
        <v>Oct</v>
      </c>
      <c r="V368" s="29">
        <f>CHOOSE(MONTH(Invoices[[#This Row],[Date]]),1,1,1,2,2,2,3,3,3,4,4,4)</f>
        <v>4</v>
      </c>
      <c r="W368" s="30">
        <f>IFERROR(Invoices[[#This Row],[Profit]]/Invoices[[#This Row],[Revenue]],0)</f>
        <v>0.80114285714285716</v>
      </c>
    </row>
    <row r="369" spans="1:23" x14ac:dyDescent="0.3">
      <c r="A369" s="19" t="s">
        <v>5</v>
      </c>
      <c r="B369" s="9">
        <v>22924</v>
      </c>
      <c r="C369" s="15">
        <v>41548</v>
      </c>
      <c r="D369" s="9">
        <v>107</v>
      </c>
      <c r="E369" s="10" t="s">
        <v>72</v>
      </c>
      <c r="F369" s="8">
        <v>2</v>
      </c>
      <c r="G369" s="10"/>
      <c r="H369" s="4" t="s">
        <v>136</v>
      </c>
      <c r="I369" s="4" t="s">
        <v>53</v>
      </c>
      <c r="J369" s="4">
        <v>1</v>
      </c>
      <c r="K369" s="23">
        <v>140</v>
      </c>
      <c r="L369">
        <f>IF(Invoices[[#This Row],[Document Type]]="Return",Invoices[[#This Row],[Unit Price]]*-1,Invoices[[#This Row],[Unit Price]])</f>
        <v>140</v>
      </c>
      <c r="M369" t="str">
        <f>IF(Invoices[[#This Row],[New Unit Price]]&lt;0,"Return",
IF(Invoices[[#This Row],[New Unit Price]]=0,"Free",IF(Invoices[[#This Row],[New Unit Price]]&lt;100,"Basic","Premium")))</f>
        <v>Premium</v>
      </c>
      <c r="N369">
        <f>VLOOKUP(Invoices[[#This Row],[Part  '#]],Products[],4,0)</f>
        <v>34.299999999999997</v>
      </c>
      <c r="O369" t="str">
        <f>VLOOKUP(Invoices[[#This Row],[Customer Account]],Customers[],4,0)</f>
        <v>Financial</v>
      </c>
      <c r="P369" t="str">
        <f>VLOOKUP(Invoices[[#This Row],[Customer Account]],Customers[],3,0)</f>
        <v>Georgia</v>
      </c>
      <c r="Q369" t="str">
        <f>VLOOKUP(Invoices[[#This Row],[Part  '#]],Products[],3,0)</f>
        <v>Consumables</v>
      </c>
      <c r="R369" s="25">
        <f>Invoices[[#This Row],[Quantity]]*Invoices[[#This Row],[Unit Cost]]</f>
        <v>34.299999999999997</v>
      </c>
      <c r="S369" s="25">
        <f>Invoices[[#This Row],[Quantity]]*Invoices[[#This Row],[New Unit Price]]</f>
        <v>140</v>
      </c>
      <c r="T369" s="25">
        <f>Invoices[[#This Row],[Revenue]]-Invoices[[#This Row],[Cost]]</f>
        <v>105.7</v>
      </c>
      <c r="U369" s="25" t="str">
        <f>TEXT(Invoices[[#This Row],[Date]],"MMM")</f>
        <v>Oct</v>
      </c>
      <c r="V369" s="29">
        <f>CHOOSE(MONTH(Invoices[[#This Row],[Date]]),1,1,1,2,2,2,3,3,3,4,4,4)</f>
        <v>4</v>
      </c>
      <c r="W369" s="30">
        <f>IFERROR(Invoices[[#This Row],[Profit]]/Invoices[[#This Row],[Revenue]],0)</f>
        <v>0.755</v>
      </c>
    </row>
    <row r="370" spans="1:23" x14ac:dyDescent="0.3">
      <c r="A370" s="19" t="s">
        <v>5</v>
      </c>
      <c r="B370" s="9">
        <v>22925</v>
      </c>
      <c r="C370" s="15">
        <v>41548</v>
      </c>
      <c r="D370" s="9">
        <v>112</v>
      </c>
      <c r="E370" s="10" t="s">
        <v>80</v>
      </c>
      <c r="F370" s="8">
        <v>1</v>
      </c>
      <c r="G370" s="10"/>
      <c r="H370" s="4" t="s">
        <v>132</v>
      </c>
      <c r="I370" s="4" t="s">
        <v>49</v>
      </c>
      <c r="J370" s="4">
        <v>5</v>
      </c>
      <c r="K370" s="23">
        <v>70</v>
      </c>
      <c r="L370">
        <f>IF(Invoices[[#This Row],[Document Type]]="Return",Invoices[[#This Row],[Unit Price]]*-1,Invoices[[#This Row],[Unit Price]])</f>
        <v>70</v>
      </c>
      <c r="M370" t="str">
        <f>IF(Invoices[[#This Row],[New Unit Price]]&lt;0,"Return",
IF(Invoices[[#This Row],[New Unit Price]]=0,"Free",IF(Invoices[[#This Row],[New Unit Price]]&lt;100,"Basic","Premium")))</f>
        <v>Basic</v>
      </c>
      <c r="N370">
        <f>VLOOKUP(Invoices[[#This Row],[Part  '#]],Products[],4,0)</f>
        <v>13.92</v>
      </c>
      <c r="O370" t="str">
        <f>VLOOKUP(Invoices[[#This Row],[Customer Account]],Customers[],4,0)</f>
        <v>Financial</v>
      </c>
      <c r="P370" t="str">
        <f>VLOOKUP(Invoices[[#This Row],[Customer Account]],Customers[],3,0)</f>
        <v>Georgia</v>
      </c>
      <c r="Q370" t="str">
        <f>VLOOKUP(Invoices[[#This Row],[Part  '#]],Products[],3,0)</f>
        <v>Consumables</v>
      </c>
      <c r="R370" s="25">
        <f>Invoices[[#This Row],[Quantity]]*Invoices[[#This Row],[Unit Cost]]</f>
        <v>69.599999999999994</v>
      </c>
      <c r="S370" s="25">
        <f>Invoices[[#This Row],[Quantity]]*Invoices[[#This Row],[New Unit Price]]</f>
        <v>350</v>
      </c>
      <c r="T370" s="25">
        <f>Invoices[[#This Row],[Revenue]]-Invoices[[#This Row],[Cost]]</f>
        <v>280.39999999999998</v>
      </c>
      <c r="U370" s="25" t="str">
        <f>TEXT(Invoices[[#This Row],[Date]],"MMM")</f>
        <v>Oct</v>
      </c>
      <c r="V370" s="29">
        <f>CHOOSE(MONTH(Invoices[[#This Row],[Date]]),1,1,1,2,2,2,3,3,3,4,4,4)</f>
        <v>4</v>
      </c>
      <c r="W370" s="30">
        <f>IFERROR(Invoices[[#This Row],[Profit]]/Invoices[[#This Row],[Revenue]],0)</f>
        <v>0.80114285714285705</v>
      </c>
    </row>
    <row r="371" spans="1:23" x14ac:dyDescent="0.3">
      <c r="A371" s="19" t="s">
        <v>5</v>
      </c>
      <c r="B371" s="9">
        <v>22925</v>
      </c>
      <c r="C371" s="15">
        <v>41548</v>
      </c>
      <c r="D371" s="9">
        <v>112</v>
      </c>
      <c r="E371" s="10" t="s">
        <v>80</v>
      </c>
      <c r="F371" s="8">
        <v>2</v>
      </c>
      <c r="G371" s="10"/>
      <c r="H371" s="4" t="s">
        <v>125</v>
      </c>
      <c r="I371" s="4" t="s">
        <v>40</v>
      </c>
      <c r="J371" s="4">
        <v>5</v>
      </c>
      <c r="K371" s="23">
        <v>30</v>
      </c>
      <c r="L371">
        <f>IF(Invoices[[#This Row],[Document Type]]="Return",Invoices[[#This Row],[Unit Price]]*-1,Invoices[[#This Row],[Unit Price]])</f>
        <v>30</v>
      </c>
      <c r="M371" t="str">
        <f>IF(Invoices[[#This Row],[New Unit Price]]&lt;0,"Return",
IF(Invoices[[#This Row],[New Unit Price]]=0,"Free",IF(Invoices[[#This Row],[New Unit Price]]&lt;100,"Basic","Premium")))</f>
        <v>Basic</v>
      </c>
      <c r="N371">
        <f>VLOOKUP(Invoices[[#This Row],[Part  '#]],Products[],4,0)</f>
        <v>6.9</v>
      </c>
      <c r="O371" t="str">
        <f>VLOOKUP(Invoices[[#This Row],[Customer Account]],Customers[],4,0)</f>
        <v>Financial</v>
      </c>
      <c r="P371" t="str">
        <f>VLOOKUP(Invoices[[#This Row],[Customer Account]],Customers[],3,0)</f>
        <v>Georgia</v>
      </c>
      <c r="Q371" t="str">
        <f>VLOOKUP(Invoices[[#This Row],[Part  '#]],Products[],3,0)</f>
        <v>Consumables</v>
      </c>
      <c r="R371" s="25">
        <f>Invoices[[#This Row],[Quantity]]*Invoices[[#This Row],[Unit Cost]]</f>
        <v>34.5</v>
      </c>
      <c r="S371" s="25">
        <f>Invoices[[#This Row],[Quantity]]*Invoices[[#This Row],[New Unit Price]]</f>
        <v>150</v>
      </c>
      <c r="T371" s="25">
        <f>Invoices[[#This Row],[Revenue]]-Invoices[[#This Row],[Cost]]</f>
        <v>115.5</v>
      </c>
      <c r="U371" s="25" t="str">
        <f>TEXT(Invoices[[#This Row],[Date]],"MMM")</f>
        <v>Oct</v>
      </c>
      <c r="V371" s="29">
        <f>CHOOSE(MONTH(Invoices[[#This Row],[Date]]),1,1,1,2,2,2,3,3,3,4,4,4)</f>
        <v>4</v>
      </c>
      <c r="W371" s="30">
        <f>IFERROR(Invoices[[#This Row],[Profit]]/Invoices[[#This Row],[Revenue]],0)</f>
        <v>0.77</v>
      </c>
    </row>
    <row r="372" spans="1:23" x14ac:dyDescent="0.3">
      <c r="A372" s="19" t="s">
        <v>5</v>
      </c>
      <c r="B372" s="9">
        <v>22926</v>
      </c>
      <c r="C372" s="15">
        <v>41548</v>
      </c>
      <c r="D372" s="9">
        <v>113</v>
      </c>
      <c r="E372" s="10" t="s">
        <v>81</v>
      </c>
      <c r="F372" s="8">
        <v>1</v>
      </c>
      <c r="G372" s="10"/>
      <c r="H372" s="4" t="s">
        <v>125</v>
      </c>
      <c r="I372" s="4" t="s">
        <v>40</v>
      </c>
      <c r="J372" s="4">
        <v>250</v>
      </c>
      <c r="K372" s="23">
        <v>24</v>
      </c>
      <c r="L372">
        <f>IF(Invoices[[#This Row],[Document Type]]="Return",Invoices[[#This Row],[Unit Price]]*-1,Invoices[[#This Row],[Unit Price]])</f>
        <v>24</v>
      </c>
      <c r="M372" t="str">
        <f>IF(Invoices[[#This Row],[New Unit Price]]&lt;0,"Return",
IF(Invoices[[#This Row],[New Unit Price]]=0,"Free",IF(Invoices[[#This Row],[New Unit Price]]&lt;100,"Basic","Premium")))</f>
        <v>Basic</v>
      </c>
      <c r="N372">
        <f>VLOOKUP(Invoices[[#This Row],[Part  '#]],Products[],4,0)</f>
        <v>6.9</v>
      </c>
      <c r="O372" t="str">
        <f>VLOOKUP(Invoices[[#This Row],[Customer Account]],Customers[],4,0)</f>
        <v>Financial</v>
      </c>
      <c r="P372" t="str">
        <f>VLOOKUP(Invoices[[#This Row],[Customer Account]],Customers[],3,0)</f>
        <v>Georgia</v>
      </c>
      <c r="Q372" t="str">
        <f>VLOOKUP(Invoices[[#This Row],[Part  '#]],Products[],3,0)</f>
        <v>Consumables</v>
      </c>
      <c r="R372" s="25">
        <f>Invoices[[#This Row],[Quantity]]*Invoices[[#This Row],[Unit Cost]]</f>
        <v>1725</v>
      </c>
      <c r="S372" s="25">
        <f>Invoices[[#This Row],[Quantity]]*Invoices[[#This Row],[New Unit Price]]</f>
        <v>6000</v>
      </c>
      <c r="T372" s="25">
        <f>Invoices[[#This Row],[Revenue]]-Invoices[[#This Row],[Cost]]</f>
        <v>4275</v>
      </c>
      <c r="U372" s="25" t="str">
        <f>TEXT(Invoices[[#This Row],[Date]],"MMM")</f>
        <v>Oct</v>
      </c>
      <c r="V372" s="29">
        <f>CHOOSE(MONTH(Invoices[[#This Row],[Date]]),1,1,1,2,2,2,3,3,3,4,4,4)</f>
        <v>4</v>
      </c>
      <c r="W372" s="30">
        <f>IFERROR(Invoices[[#This Row],[Profit]]/Invoices[[#This Row],[Revenue]],0)</f>
        <v>0.71250000000000002</v>
      </c>
    </row>
    <row r="373" spans="1:23" x14ac:dyDescent="0.3">
      <c r="A373" s="19" t="s">
        <v>5</v>
      </c>
      <c r="B373" s="9">
        <v>22926</v>
      </c>
      <c r="C373" s="15">
        <v>41548</v>
      </c>
      <c r="D373" s="9">
        <v>113</v>
      </c>
      <c r="E373" s="10" t="s">
        <v>81</v>
      </c>
      <c r="F373" s="8">
        <v>2</v>
      </c>
      <c r="G373" s="10"/>
      <c r="H373" s="4" t="s">
        <v>132</v>
      </c>
      <c r="I373" s="4" t="s">
        <v>49</v>
      </c>
      <c r="J373" s="4">
        <v>50</v>
      </c>
      <c r="K373" s="23">
        <v>70</v>
      </c>
      <c r="L373">
        <f>IF(Invoices[[#This Row],[Document Type]]="Return",Invoices[[#This Row],[Unit Price]]*-1,Invoices[[#This Row],[Unit Price]])</f>
        <v>70</v>
      </c>
      <c r="M373" t="str">
        <f>IF(Invoices[[#This Row],[New Unit Price]]&lt;0,"Return",
IF(Invoices[[#This Row],[New Unit Price]]=0,"Free",IF(Invoices[[#This Row],[New Unit Price]]&lt;100,"Basic","Premium")))</f>
        <v>Basic</v>
      </c>
      <c r="N373">
        <f>VLOOKUP(Invoices[[#This Row],[Part  '#]],Products[],4,0)</f>
        <v>13.92</v>
      </c>
      <c r="O373" t="str">
        <f>VLOOKUP(Invoices[[#This Row],[Customer Account]],Customers[],4,0)</f>
        <v>Financial</v>
      </c>
      <c r="P373" t="str">
        <f>VLOOKUP(Invoices[[#This Row],[Customer Account]],Customers[],3,0)</f>
        <v>Georgia</v>
      </c>
      <c r="Q373" t="str">
        <f>VLOOKUP(Invoices[[#This Row],[Part  '#]],Products[],3,0)</f>
        <v>Consumables</v>
      </c>
      <c r="R373" s="25">
        <f>Invoices[[#This Row],[Quantity]]*Invoices[[#This Row],[Unit Cost]]</f>
        <v>696</v>
      </c>
      <c r="S373" s="25">
        <f>Invoices[[#This Row],[Quantity]]*Invoices[[#This Row],[New Unit Price]]</f>
        <v>3500</v>
      </c>
      <c r="T373" s="25">
        <f>Invoices[[#This Row],[Revenue]]-Invoices[[#This Row],[Cost]]</f>
        <v>2804</v>
      </c>
      <c r="U373" s="25" t="str">
        <f>TEXT(Invoices[[#This Row],[Date]],"MMM")</f>
        <v>Oct</v>
      </c>
      <c r="V373" s="29">
        <f>CHOOSE(MONTH(Invoices[[#This Row],[Date]]),1,1,1,2,2,2,3,3,3,4,4,4)</f>
        <v>4</v>
      </c>
      <c r="W373" s="30">
        <f>IFERROR(Invoices[[#This Row],[Profit]]/Invoices[[#This Row],[Revenue]],0)</f>
        <v>0.80114285714285716</v>
      </c>
    </row>
    <row r="374" spans="1:23" x14ac:dyDescent="0.3">
      <c r="A374" s="19" t="s">
        <v>5</v>
      </c>
      <c r="B374" s="9">
        <v>22927</v>
      </c>
      <c r="C374" s="15">
        <v>41548</v>
      </c>
      <c r="D374" s="9">
        <v>114</v>
      </c>
      <c r="E374" s="10" t="s">
        <v>82</v>
      </c>
      <c r="F374" s="8">
        <v>1</v>
      </c>
      <c r="G374" s="10"/>
      <c r="H374" s="4" t="s">
        <v>135</v>
      </c>
      <c r="I374" s="4" t="s">
        <v>52</v>
      </c>
      <c r="J374" s="4">
        <v>9</v>
      </c>
      <c r="K374" s="23">
        <v>100</v>
      </c>
      <c r="L374">
        <f>IF(Invoices[[#This Row],[Document Type]]="Return",Invoices[[#This Row],[Unit Price]]*-1,Invoices[[#This Row],[Unit Price]])</f>
        <v>100</v>
      </c>
      <c r="M374" t="str">
        <f>IF(Invoices[[#This Row],[New Unit Price]]&lt;0,"Return",
IF(Invoices[[#This Row],[New Unit Price]]=0,"Free",IF(Invoices[[#This Row],[New Unit Price]]&lt;100,"Basic","Premium")))</f>
        <v>Premium</v>
      </c>
      <c r="N374">
        <f>VLOOKUP(Invoices[[#This Row],[Part  '#]],Products[],4,0)</f>
        <v>27.17</v>
      </c>
      <c r="O374" t="str">
        <f>VLOOKUP(Invoices[[#This Row],[Customer Account]],Customers[],4,0)</f>
        <v>Automotive</v>
      </c>
      <c r="P374" t="str">
        <f>VLOOKUP(Invoices[[#This Row],[Customer Account]],Customers[],3,0)</f>
        <v>North Carolina</v>
      </c>
      <c r="Q374" t="str">
        <f>VLOOKUP(Invoices[[#This Row],[Part  '#]],Products[],3,0)</f>
        <v>Consumables</v>
      </c>
      <c r="R374" s="25">
        <f>Invoices[[#This Row],[Quantity]]*Invoices[[#This Row],[Unit Cost]]</f>
        <v>244.53000000000003</v>
      </c>
      <c r="S374" s="25">
        <f>Invoices[[#This Row],[Quantity]]*Invoices[[#This Row],[New Unit Price]]</f>
        <v>900</v>
      </c>
      <c r="T374" s="25">
        <f>Invoices[[#This Row],[Revenue]]-Invoices[[#This Row],[Cost]]</f>
        <v>655.47</v>
      </c>
      <c r="U374" s="25" t="str">
        <f>TEXT(Invoices[[#This Row],[Date]],"MMM")</f>
        <v>Oct</v>
      </c>
      <c r="V374" s="29">
        <f>CHOOSE(MONTH(Invoices[[#This Row],[Date]]),1,1,1,2,2,2,3,3,3,4,4,4)</f>
        <v>4</v>
      </c>
      <c r="W374" s="30">
        <f>IFERROR(Invoices[[#This Row],[Profit]]/Invoices[[#This Row],[Revenue]],0)</f>
        <v>0.72830000000000006</v>
      </c>
    </row>
    <row r="375" spans="1:23" x14ac:dyDescent="0.3">
      <c r="A375" s="19" t="s">
        <v>5</v>
      </c>
      <c r="B375" s="9">
        <v>22927</v>
      </c>
      <c r="C375" s="15">
        <v>41548</v>
      </c>
      <c r="D375" s="9">
        <v>114</v>
      </c>
      <c r="E375" s="10" t="s">
        <v>82</v>
      </c>
      <c r="F375" s="8">
        <v>2</v>
      </c>
      <c r="G375" s="10"/>
      <c r="H375" s="4" t="s">
        <v>136</v>
      </c>
      <c r="I375" s="4" t="s">
        <v>53</v>
      </c>
      <c r="J375" s="4">
        <v>7</v>
      </c>
      <c r="K375" s="23">
        <v>140</v>
      </c>
      <c r="L375">
        <f>IF(Invoices[[#This Row],[Document Type]]="Return",Invoices[[#This Row],[Unit Price]]*-1,Invoices[[#This Row],[Unit Price]])</f>
        <v>140</v>
      </c>
      <c r="M375" t="str">
        <f>IF(Invoices[[#This Row],[New Unit Price]]&lt;0,"Return",
IF(Invoices[[#This Row],[New Unit Price]]=0,"Free",IF(Invoices[[#This Row],[New Unit Price]]&lt;100,"Basic","Premium")))</f>
        <v>Premium</v>
      </c>
      <c r="N375">
        <f>VLOOKUP(Invoices[[#This Row],[Part  '#]],Products[],4,0)</f>
        <v>34.299999999999997</v>
      </c>
      <c r="O375" t="str">
        <f>VLOOKUP(Invoices[[#This Row],[Customer Account]],Customers[],4,0)</f>
        <v>Automotive</v>
      </c>
      <c r="P375" t="str">
        <f>VLOOKUP(Invoices[[#This Row],[Customer Account]],Customers[],3,0)</f>
        <v>North Carolina</v>
      </c>
      <c r="Q375" t="str">
        <f>VLOOKUP(Invoices[[#This Row],[Part  '#]],Products[],3,0)</f>
        <v>Consumables</v>
      </c>
      <c r="R375" s="25">
        <f>Invoices[[#This Row],[Quantity]]*Invoices[[#This Row],[Unit Cost]]</f>
        <v>240.09999999999997</v>
      </c>
      <c r="S375" s="25">
        <f>Invoices[[#This Row],[Quantity]]*Invoices[[#This Row],[New Unit Price]]</f>
        <v>980</v>
      </c>
      <c r="T375" s="25">
        <f>Invoices[[#This Row],[Revenue]]-Invoices[[#This Row],[Cost]]</f>
        <v>739.90000000000009</v>
      </c>
      <c r="U375" s="25" t="str">
        <f>TEXT(Invoices[[#This Row],[Date]],"MMM")</f>
        <v>Oct</v>
      </c>
      <c r="V375" s="29">
        <f>CHOOSE(MONTH(Invoices[[#This Row],[Date]]),1,1,1,2,2,2,3,3,3,4,4,4)</f>
        <v>4</v>
      </c>
      <c r="W375" s="30">
        <f>IFERROR(Invoices[[#This Row],[Profit]]/Invoices[[#This Row],[Revenue]],0)</f>
        <v>0.75500000000000012</v>
      </c>
    </row>
    <row r="376" spans="1:23" x14ac:dyDescent="0.3">
      <c r="A376" s="19" t="s">
        <v>5</v>
      </c>
      <c r="B376" s="9">
        <v>22927</v>
      </c>
      <c r="C376" s="15">
        <v>41548</v>
      </c>
      <c r="D376" s="9">
        <v>114</v>
      </c>
      <c r="E376" s="10" t="s">
        <v>82</v>
      </c>
      <c r="F376" s="8">
        <v>3</v>
      </c>
      <c r="G376" s="10"/>
      <c r="H376" s="4" t="s">
        <v>128</v>
      </c>
      <c r="I376" s="4" t="s">
        <v>45</v>
      </c>
      <c r="J376" s="4">
        <v>14</v>
      </c>
      <c r="K376" s="23">
        <v>25</v>
      </c>
      <c r="L376">
        <f>IF(Invoices[[#This Row],[Document Type]]="Return",Invoices[[#This Row],[Unit Price]]*-1,Invoices[[#This Row],[Unit Price]])</f>
        <v>25</v>
      </c>
      <c r="M376" t="str">
        <f>IF(Invoices[[#This Row],[New Unit Price]]&lt;0,"Return",
IF(Invoices[[#This Row],[New Unit Price]]=0,"Free",IF(Invoices[[#This Row],[New Unit Price]]&lt;100,"Basic","Premium")))</f>
        <v>Basic</v>
      </c>
      <c r="N376">
        <f>VLOOKUP(Invoices[[#This Row],[Part  '#]],Products[],4,0)</f>
        <v>5.16</v>
      </c>
      <c r="O376" t="str">
        <f>VLOOKUP(Invoices[[#This Row],[Customer Account]],Customers[],4,0)</f>
        <v>Automotive</v>
      </c>
      <c r="P376" t="str">
        <f>VLOOKUP(Invoices[[#This Row],[Customer Account]],Customers[],3,0)</f>
        <v>North Carolina</v>
      </c>
      <c r="Q376" t="str">
        <f>VLOOKUP(Invoices[[#This Row],[Part  '#]],Products[],3,0)</f>
        <v>Consumables</v>
      </c>
      <c r="R376" s="25">
        <f>Invoices[[#This Row],[Quantity]]*Invoices[[#This Row],[Unit Cost]]</f>
        <v>72.240000000000009</v>
      </c>
      <c r="S376" s="25">
        <f>Invoices[[#This Row],[Quantity]]*Invoices[[#This Row],[New Unit Price]]</f>
        <v>350</v>
      </c>
      <c r="T376" s="25">
        <f>Invoices[[#This Row],[Revenue]]-Invoices[[#This Row],[Cost]]</f>
        <v>277.76</v>
      </c>
      <c r="U376" s="25" t="str">
        <f>TEXT(Invoices[[#This Row],[Date]],"MMM")</f>
        <v>Oct</v>
      </c>
      <c r="V376" s="29">
        <f>CHOOSE(MONTH(Invoices[[#This Row],[Date]]),1,1,1,2,2,2,3,3,3,4,4,4)</f>
        <v>4</v>
      </c>
      <c r="W376" s="30">
        <f>IFERROR(Invoices[[#This Row],[Profit]]/Invoices[[#This Row],[Revenue]],0)</f>
        <v>0.79359999999999997</v>
      </c>
    </row>
    <row r="377" spans="1:23" x14ac:dyDescent="0.3">
      <c r="A377" s="19" t="s">
        <v>5</v>
      </c>
      <c r="B377" s="9">
        <v>22927</v>
      </c>
      <c r="C377" s="15">
        <v>41548</v>
      </c>
      <c r="D377" s="9">
        <v>114</v>
      </c>
      <c r="E377" s="10" t="s">
        <v>82</v>
      </c>
      <c r="F377" s="8">
        <v>4</v>
      </c>
      <c r="G377" s="10"/>
      <c r="H377" s="4" t="s">
        <v>130</v>
      </c>
      <c r="I377" s="4" t="s">
        <v>47</v>
      </c>
      <c r="J377" s="4">
        <v>23</v>
      </c>
      <c r="K377" s="23">
        <v>24</v>
      </c>
      <c r="L377">
        <f>IF(Invoices[[#This Row],[Document Type]]="Return",Invoices[[#This Row],[Unit Price]]*-1,Invoices[[#This Row],[Unit Price]])</f>
        <v>24</v>
      </c>
      <c r="M377" t="str">
        <f>IF(Invoices[[#This Row],[New Unit Price]]&lt;0,"Return",
IF(Invoices[[#This Row],[New Unit Price]]=0,"Free",IF(Invoices[[#This Row],[New Unit Price]]&lt;100,"Basic","Premium")))</f>
        <v>Basic</v>
      </c>
      <c r="N377">
        <f>VLOOKUP(Invoices[[#This Row],[Part  '#]],Products[],4,0)</f>
        <v>7.09</v>
      </c>
      <c r="O377" t="str">
        <f>VLOOKUP(Invoices[[#This Row],[Customer Account]],Customers[],4,0)</f>
        <v>Automotive</v>
      </c>
      <c r="P377" t="str">
        <f>VLOOKUP(Invoices[[#This Row],[Customer Account]],Customers[],3,0)</f>
        <v>North Carolina</v>
      </c>
      <c r="Q377" t="str">
        <f>VLOOKUP(Invoices[[#This Row],[Part  '#]],Products[],3,0)</f>
        <v>Consumables</v>
      </c>
      <c r="R377" s="25">
        <f>Invoices[[#This Row],[Quantity]]*Invoices[[#This Row],[Unit Cost]]</f>
        <v>163.07</v>
      </c>
      <c r="S377" s="25">
        <f>Invoices[[#This Row],[Quantity]]*Invoices[[#This Row],[New Unit Price]]</f>
        <v>552</v>
      </c>
      <c r="T377" s="25">
        <f>Invoices[[#This Row],[Revenue]]-Invoices[[#This Row],[Cost]]</f>
        <v>388.93</v>
      </c>
      <c r="U377" s="25" t="str">
        <f>TEXT(Invoices[[#This Row],[Date]],"MMM")</f>
        <v>Oct</v>
      </c>
      <c r="V377" s="29">
        <f>CHOOSE(MONTH(Invoices[[#This Row],[Date]]),1,1,1,2,2,2,3,3,3,4,4,4)</f>
        <v>4</v>
      </c>
      <c r="W377" s="30">
        <f>IFERROR(Invoices[[#This Row],[Profit]]/Invoices[[#This Row],[Revenue]],0)</f>
        <v>0.70458333333333334</v>
      </c>
    </row>
    <row r="378" spans="1:23" x14ac:dyDescent="0.3">
      <c r="A378" s="19" t="s">
        <v>5</v>
      </c>
      <c r="B378" s="9">
        <v>22928</v>
      </c>
      <c r="C378" s="15">
        <v>41548</v>
      </c>
      <c r="D378" s="9">
        <v>115</v>
      </c>
      <c r="E378" s="10" t="s">
        <v>83</v>
      </c>
      <c r="F378" s="8">
        <v>1</v>
      </c>
      <c r="G378" s="10"/>
      <c r="H378" s="4" t="s">
        <v>124</v>
      </c>
      <c r="I378" s="4" t="s">
        <v>39</v>
      </c>
      <c r="J378" s="4">
        <v>20</v>
      </c>
      <c r="K378" s="23">
        <v>35</v>
      </c>
      <c r="L378">
        <f>IF(Invoices[[#This Row],[Document Type]]="Return",Invoices[[#This Row],[Unit Price]]*-1,Invoices[[#This Row],[Unit Price]])</f>
        <v>35</v>
      </c>
      <c r="M378" t="str">
        <f>IF(Invoices[[#This Row],[New Unit Price]]&lt;0,"Return",
IF(Invoices[[#This Row],[New Unit Price]]=0,"Free",IF(Invoices[[#This Row],[New Unit Price]]&lt;100,"Basic","Premium")))</f>
        <v>Basic</v>
      </c>
      <c r="N378">
        <f>VLOOKUP(Invoices[[#This Row],[Part  '#]],Products[],4,0)</f>
        <v>6.37</v>
      </c>
      <c r="O378" t="str">
        <f>VLOOKUP(Invoices[[#This Row],[Customer Account]],Customers[],4,0)</f>
        <v>Automotive</v>
      </c>
      <c r="P378" t="str">
        <f>VLOOKUP(Invoices[[#This Row],[Customer Account]],Customers[],3,0)</f>
        <v>Tennessee</v>
      </c>
      <c r="Q378" t="str">
        <f>VLOOKUP(Invoices[[#This Row],[Part  '#]],Products[],3,0)</f>
        <v>Consumables</v>
      </c>
      <c r="R378" s="25">
        <f>Invoices[[#This Row],[Quantity]]*Invoices[[#This Row],[Unit Cost]]</f>
        <v>127.4</v>
      </c>
      <c r="S378" s="25">
        <f>Invoices[[#This Row],[Quantity]]*Invoices[[#This Row],[New Unit Price]]</f>
        <v>700</v>
      </c>
      <c r="T378" s="25">
        <f>Invoices[[#This Row],[Revenue]]-Invoices[[#This Row],[Cost]]</f>
        <v>572.6</v>
      </c>
      <c r="U378" s="25" t="str">
        <f>TEXT(Invoices[[#This Row],[Date]],"MMM")</f>
        <v>Oct</v>
      </c>
      <c r="V378" s="29">
        <f>CHOOSE(MONTH(Invoices[[#This Row],[Date]]),1,1,1,2,2,2,3,3,3,4,4,4)</f>
        <v>4</v>
      </c>
      <c r="W378" s="30">
        <f>IFERROR(Invoices[[#This Row],[Profit]]/Invoices[[#This Row],[Revenue]],0)</f>
        <v>0.81800000000000006</v>
      </c>
    </row>
    <row r="379" spans="1:23" x14ac:dyDescent="0.3">
      <c r="A379" s="19" t="s">
        <v>5</v>
      </c>
      <c r="B379" s="9">
        <v>22928</v>
      </c>
      <c r="C379" s="15">
        <v>41548</v>
      </c>
      <c r="D379" s="9">
        <v>115</v>
      </c>
      <c r="E379" s="10" t="s">
        <v>83</v>
      </c>
      <c r="F379" s="8">
        <v>2</v>
      </c>
      <c r="G379" s="10"/>
      <c r="H379" s="4" t="s">
        <v>132</v>
      </c>
      <c r="I379" s="4" t="s">
        <v>49</v>
      </c>
      <c r="J379" s="4">
        <v>3</v>
      </c>
      <c r="K379" s="23">
        <v>70</v>
      </c>
      <c r="L379">
        <f>IF(Invoices[[#This Row],[Document Type]]="Return",Invoices[[#This Row],[Unit Price]]*-1,Invoices[[#This Row],[Unit Price]])</f>
        <v>70</v>
      </c>
      <c r="M379" t="str">
        <f>IF(Invoices[[#This Row],[New Unit Price]]&lt;0,"Return",
IF(Invoices[[#This Row],[New Unit Price]]=0,"Free",IF(Invoices[[#This Row],[New Unit Price]]&lt;100,"Basic","Premium")))</f>
        <v>Basic</v>
      </c>
      <c r="N379">
        <f>VLOOKUP(Invoices[[#This Row],[Part  '#]],Products[],4,0)</f>
        <v>13.92</v>
      </c>
      <c r="O379" t="str">
        <f>VLOOKUP(Invoices[[#This Row],[Customer Account]],Customers[],4,0)</f>
        <v>Automotive</v>
      </c>
      <c r="P379" t="str">
        <f>VLOOKUP(Invoices[[#This Row],[Customer Account]],Customers[],3,0)</f>
        <v>Tennessee</v>
      </c>
      <c r="Q379" t="str">
        <f>VLOOKUP(Invoices[[#This Row],[Part  '#]],Products[],3,0)</f>
        <v>Consumables</v>
      </c>
      <c r="R379" s="25">
        <f>Invoices[[#This Row],[Quantity]]*Invoices[[#This Row],[Unit Cost]]</f>
        <v>41.76</v>
      </c>
      <c r="S379" s="25">
        <f>Invoices[[#This Row],[Quantity]]*Invoices[[#This Row],[New Unit Price]]</f>
        <v>210</v>
      </c>
      <c r="T379" s="25">
        <f>Invoices[[#This Row],[Revenue]]-Invoices[[#This Row],[Cost]]</f>
        <v>168.24</v>
      </c>
      <c r="U379" s="25" t="str">
        <f>TEXT(Invoices[[#This Row],[Date]],"MMM")</f>
        <v>Oct</v>
      </c>
      <c r="V379" s="29">
        <f>CHOOSE(MONTH(Invoices[[#This Row],[Date]]),1,1,1,2,2,2,3,3,3,4,4,4)</f>
        <v>4</v>
      </c>
      <c r="W379" s="30">
        <f>IFERROR(Invoices[[#This Row],[Profit]]/Invoices[[#This Row],[Revenue]],0)</f>
        <v>0.80114285714285716</v>
      </c>
    </row>
    <row r="380" spans="1:23" x14ac:dyDescent="0.3">
      <c r="A380" s="19" t="s">
        <v>5</v>
      </c>
      <c r="B380" s="9">
        <v>22929</v>
      </c>
      <c r="C380" s="15">
        <v>41548</v>
      </c>
      <c r="D380" s="9">
        <v>116</v>
      </c>
      <c r="E380" s="10" t="s">
        <v>84</v>
      </c>
      <c r="F380" s="8">
        <v>1</v>
      </c>
      <c r="G380" s="10"/>
      <c r="H380" s="4" t="s">
        <v>125</v>
      </c>
      <c r="I380" s="4" t="s">
        <v>40</v>
      </c>
      <c r="J380" s="4">
        <v>50</v>
      </c>
      <c r="K380" s="23">
        <v>30</v>
      </c>
      <c r="L380">
        <f>IF(Invoices[[#This Row],[Document Type]]="Return",Invoices[[#This Row],[Unit Price]]*-1,Invoices[[#This Row],[Unit Price]])</f>
        <v>30</v>
      </c>
      <c r="M380" t="str">
        <f>IF(Invoices[[#This Row],[New Unit Price]]&lt;0,"Return",
IF(Invoices[[#This Row],[New Unit Price]]=0,"Free",IF(Invoices[[#This Row],[New Unit Price]]&lt;100,"Basic","Premium")))</f>
        <v>Basic</v>
      </c>
      <c r="N380">
        <f>VLOOKUP(Invoices[[#This Row],[Part  '#]],Products[],4,0)</f>
        <v>6.9</v>
      </c>
      <c r="O380" t="str">
        <f>VLOOKUP(Invoices[[#This Row],[Customer Account]],Customers[],4,0)</f>
        <v>Automotive</v>
      </c>
      <c r="P380" t="str">
        <f>VLOOKUP(Invoices[[#This Row],[Customer Account]],Customers[],3,0)</f>
        <v>Tennessee</v>
      </c>
      <c r="Q380" t="str">
        <f>VLOOKUP(Invoices[[#This Row],[Part  '#]],Products[],3,0)</f>
        <v>Consumables</v>
      </c>
      <c r="R380" s="25">
        <f>Invoices[[#This Row],[Quantity]]*Invoices[[#This Row],[Unit Cost]]</f>
        <v>345</v>
      </c>
      <c r="S380" s="25">
        <f>Invoices[[#This Row],[Quantity]]*Invoices[[#This Row],[New Unit Price]]</f>
        <v>1500</v>
      </c>
      <c r="T380" s="25">
        <f>Invoices[[#This Row],[Revenue]]-Invoices[[#This Row],[Cost]]</f>
        <v>1155</v>
      </c>
      <c r="U380" s="25" t="str">
        <f>TEXT(Invoices[[#This Row],[Date]],"MMM")</f>
        <v>Oct</v>
      </c>
      <c r="V380" s="29">
        <f>CHOOSE(MONTH(Invoices[[#This Row],[Date]]),1,1,1,2,2,2,3,3,3,4,4,4)</f>
        <v>4</v>
      </c>
      <c r="W380" s="30">
        <f>IFERROR(Invoices[[#This Row],[Profit]]/Invoices[[#This Row],[Revenue]],0)</f>
        <v>0.77</v>
      </c>
    </row>
    <row r="381" spans="1:23" x14ac:dyDescent="0.3">
      <c r="A381" s="19" t="s">
        <v>5</v>
      </c>
      <c r="B381" s="9">
        <v>22929</v>
      </c>
      <c r="C381" s="15">
        <v>41548</v>
      </c>
      <c r="D381" s="9">
        <v>116</v>
      </c>
      <c r="E381" s="10" t="s">
        <v>84</v>
      </c>
      <c r="F381" s="8">
        <v>2</v>
      </c>
      <c r="G381" s="10"/>
      <c r="H381" s="4" t="s">
        <v>132</v>
      </c>
      <c r="I381" s="4" t="s">
        <v>49</v>
      </c>
      <c r="J381" s="4">
        <v>20</v>
      </c>
      <c r="K381" s="23">
        <v>70</v>
      </c>
      <c r="L381">
        <f>IF(Invoices[[#This Row],[Document Type]]="Return",Invoices[[#This Row],[Unit Price]]*-1,Invoices[[#This Row],[Unit Price]])</f>
        <v>70</v>
      </c>
      <c r="M381" t="str">
        <f>IF(Invoices[[#This Row],[New Unit Price]]&lt;0,"Return",
IF(Invoices[[#This Row],[New Unit Price]]=0,"Free",IF(Invoices[[#This Row],[New Unit Price]]&lt;100,"Basic","Premium")))</f>
        <v>Basic</v>
      </c>
      <c r="N381">
        <f>VLOOKUP(Invoices[[#This Row],[Part  '#]],Products[],4,0)</f>
        <v>13.92</v>
      </c>
      <c r="O381" t="str">
        <f>VLOOKUP(Invoices[[#This Row],[Customer Account]],Customers[],4,0)</f>
        <v>Automotive</v>
      </c>
      <c r="P381" t="str">
        <f>VLOOKUP(Invoices[[#This Row],[Customer Account]],Customers[],3,0)</f>
        <v>Tennessee</v>
      </c>
      <c r="Q381" t="str">
        <f>VLOOKUP(Invoices[[#This Row],[Part  '#]],Products[],3,0)</f>
        <v>Consumables</v>
      </c>
      <c r="R381" s="25">
        <f>Invoices[[#This Row],[Quantity]]*Invoices[[#This Row],[Unit Cost]]</f>
        <v>278.39999999999998</v>
      </c>
      <c r="S381" s="25">
        <f>Invoices[[#This Row],[Quantity]]*Invoices[[#This Row],[New Unit Price]]</f>
        <v>1400</v>
      </c>
      <c r="T381" s="25">
        <f>Invoices[[#This Row],[Revenue]]-Invoices[[#This Row],[Cost]]</f>
        <v>1121.5999999999999</v>
      </c>
      <c r="U381" s="25" t="str">
        <f>TEXT(Invoices[[#This Row],[Date]],"MMM")</f>
        <v>Oct</v>
      </c>
      <c r="V381" s="29">
        <f>CHOOSE(MONTH(Invoices[[#This Row],[Date]]),1,1,1,2,2,2,3,3,3,4,4,4)</f>
        <v>4</v>
      </c>
      <c r="W381" s="30">
        <f>IFERROR(Invoices[[#This Row],[Profit]]/Invoices[[#This Row],[Revenue]],0)</f>
        <v>0.80114285714285705</v>
      </c>
    </row>
    <row r="382" spans="1:23" x14ac:dyDescent="0.3">
      <c r="A382" s="19" t="s">
        <v>5</v>
      </c>
      <c r="B382" s="9">
        <v>22930</v>
      </c>
      <c r="C382" s="15">
        <v>41548</v>
      </c>
      <c r="D382" s="9">
        <v>117</v>
      </c>
      <c r="E382" s="10" t="s">
        <v>85</v>
      </c>
      <c r="F382" s="8">
        <v>1</v>
      </c>
      <c r="G382" s="10"/>
      <c r="H382" s="4" t="s">
        <v>132</v>
      </c>
      <c r="I382" s="4" t="s">
        <v>49</v>
      </c>
      <c r="J382" s="4">
        <v>12</v>
      </c>
      <c r="K382" s="23">
        <v>70</v>
      </c>
      <c r="L382">
        <f>IF(Invoices[[#This Row],[Document Type]]="Return",Invoices[[#This Row],[Unit Price]]*-1,Invoices[[#This Row],[Unit Price]])</f>
        <v>70</v>
      </c>
      <c r="M382" t="str">
        <f>IF(Invoices[[#This Row],[New Unit Price]]&lt;0,"Return",
IF(Invoices[[#This Row],[New Unit Price]]=0,"Free",IF(Invoices[[#This Row],[New Unit Price]]&lt;100,"Basic","Premium")))</f>
        <v>Basic</v>
      </c>
      <c r="N382">
        <f>VLOOKUP(Invoices[[#This Row],[Part  '#]],Products[],4,0)</f>
        <v>13.92</v>
      </c>
      <c r="O382" t="str">
        <f>VLOOKUP(Invoices[[#This Row],[Customer Account]],Customers[],4,0)</f>
        <v>Automotive</v>
      </c>
      <c r="P382" t="str">
        <f>VLOOKUP(Invoices[[#This Row],[Customer Account]],Customers[],3,0)</f>
        <v>Georgia</v>
      </c>
      <c r="Q382" t="str">
        <f>VLOOKUP(Invoices[[#This Row],[Part  '#]],Products[],3,0)</f>
        <v>Consumables</v>
      </c>
      <c r="R382" s="25">
        <f>Invoices[[#This Row],[Quantity]]*Invoices[[#This Row],[Unit Cost]]</f>
        <v>167.04</v>
      </c>
      <c r="S382" s="25">
        <f>Invoices[[#This Row],[Quantity]]*Invoices[[#This Row],[New Unit Price]]</f>
        <v>840</v>
      </c>
      <c r="T382" s="25">
        <f>Invoices[[#This Row],[Revenue]]-Invoices[[#This Row],[Cost]]</f>
        <v>672.96</v>
      </c>
      <c r="U382" s="25" t="str">
        <f>TEXT(Invoices[[#This Row],[Date]],"MMM")</f>
        <v>Oct</v>
      </c>
      <c r="V382" s="29">
        <f>CHOOSE(MONTH(Invoices[[#This Row],[Date]]),1,1,1,2,2,2,3,3,3,4,4,4)</f>
        <v>4</v>
      </c>
      <c r="W382" s="30">
        <f>IFERROR(Invoices[[#This Row],[Profit]]/Invoices[[#This Row],[Revenue]],0)</f>
        <v>0.80114285714285716</v>
      </c>
    </row>
    <row r="383" spans="1:23" x14ac:dyDescent="0.3">
      <c r="A383" s="19" t="s">
        <v>5</v>
      </c>
      <c r="B383" s="9">
        <v>22930</v>
      </c>
      <c r="C383" s="15">
        <v>41548</v>
      </c>
      <c r="D383" s="9">
        <v>117</v>
      </c>
      <c r="E383" s="10" t="s">
        <v>85</v>
      </c>
      <c r="F383" s="8">
        <v>2</v>
      </c>
      <c r="G383" s="10"/>
      <c r="H383" s="4" t="s">
        <v>125</v>
      </c>
      <c r="I383" s="4" t="s">
        <v>40</v>
      </c>
      <c r="J383" s="4">
        <v>12</v>
      </c>
      <c r="K383" s="23">
        <v>30</v>
      </c>
      <c r="L383">
        <f>IF(Invoices[[#This Row],[Document Type]]="Return",Invoices[[#This Row],[Unit Price]]*-1,Invoices[[#This Row],[Unit Price]])</f>
        <v>30</v>
      </c>
      <c r="M383" t="str">
        <f>IF(Invoices[[#This Row],[New Unit Price]]&lt;0,"Return",
IF(Invoices[[#This Row],[New Unit Price]]=0,"Free",IF(Invoices[[#This Row],[New Unit Price]]&lt;100,"Basic","Premium")))</f>
        <v>Basic</v>
      </c>
      <c r="N383">
        <f>VLOOKUP(Invoices[[#This Row],[Part  '#]],Products[],4,0)</f>
        <v>6.9</v>
      </c>
      <c r="O383" t="str">
        <f>VLOOKUP(Invoices[[#This Row],[Customer Account]],Customers[],4,0)</f>
        <v>Automotive</v>
      </c>
      <c r="P383" t="str">
        <f>VLOOKUP(Invoices[[#This Row],[Customer Account]],Customers[],3,0)</f>
        <v>Georgia</v>
      </c>
      <c r="Q383" t="str">
        <f>VLOOKUP(Invoices[[#This Row],[Part  '#]],Products[],3,0)</f>
        <v>Consumables</v>
      </c>
      <c r="R383" s="25">
        <f>Invoices[[#This Row],[Quantity]]*Invoices[[#This Row],[Unit Cost]]</f>
        <v>82.800000000000011</v>
      </c>
      <c r="S383" s="25">
        <f>Invoices[[#This Row],[Quantity]]*Invoices[[#This Row],[New Unit Price]]</f>
        <v>360</v>
      </c>
      <c r="T383" s="25">
        <f>Invoices[[#This Row],[Revenue]]-Invoices[[#This Row],[Cost]]</f>
        <v>277.2</v>
      </c>
      <c r="U383" s="25" t="str">
        <f>TEXT(Invoices[[#This Row],[Date]],"MMM")</f>
        <v>Oct</v>
      </c>
      <c r="V383" s="29">
        <f>CHOOSE(MONTH(Invoices[[#This Row],[Date]]),1,1,1,2,2,2,3,3,3,4,4,4)</f>
        <v>4</v>
      </c>
      <c r="W383" s="30">
        <f>IFERROR(Invoices[[#This Row],[Profit]]/Invoices[[#This Row],[Revenue]],0)</f>
        <v>0.77</v>
      </c>
    </row>
    <row r="384" spans="1:23" x14ac:dyDescent="0.3">
      <c r="A384" s="19" t="s">
        <v>5</v>
      </c>
      <c r="B384" s="9">
        <v>22931</v>
      </c>
      <c r="C384" s="15">
        <v>41548</v>
      </c>
      <c r="D384" s="9">
        <v>119</v>
      </c>
      <c r="E384" s="10" t="s">
        <v>87</v>
      </c>
      <c r="F384" s="8">
        <v>1</v>
      </c>
      <c r="G384" s="10"/>
      <c r="H384" s="4" t="s">
        <v>135</v>
      </c>
      <c r="I384" s="4" t="s">
        <v>52</v>
      </c>
      <c r="J384" s="4">
        <v>5</v>
      </c>
      <c r="K384" s="23">
        <v>100</v>
      </c>
      <c r="L384">
        <f>IF(Invoices[[#This Row],[Document Type]]="Return",Invoices[[#This Row],[Unit Price]]*-1,Invoices[[#This Row],[Unit Price]])</f>
        <v>100</v>
      </c>
      <c r="M384" t="str">
        <f>IF(Invoices[[#This Row],[New Unit Price]]&lt;0,"Return",
IF(Invoices[[#This Row],[New Unit Price]]=0,"Free",IF(Invoices[[#This Row],[New Unit Price]]&lt;100,"Basic","Premium")))</f>
        <v>Premium</v>
      </c>
      <c r="N384">
        <f>VLOOKUP(Invoices[[#This Row],[Part  '#]],Products[],4,0)</f>
        <v>27.17</v>
      </c>
      <c r="O384" t="str">
        <f>VLOOKUP(Invoices[[#This Row],[Customer Account]],Customers[],4,0)</f>
        <v>Financial</v>
      </c>
      <c r="P384" t="str">
        <f>VLOOKUP(Invoices[[#This Row],[Customer Account]],Customers[],3,0)</f>
        <v>Georgia</v>
      </c>
      <c r="Q384" t="str">
        <f>VLOOKUP(Invoices[[#This Row],[Part  '#]],Products[],3,0)</f>
        <v>Consumables</v>
      </c>
      <c r="R384" s="25">
        <f>Invoices[[#This Row],[Quantity]]*Invoices[[#This Row],[Unit Cost]]</f>
        <v>135.85000000000002</v>
      </c>
      <c r="S384" s="25">
        <f>Invoices[[#This Row],[Quantity]]*Invoices[[#This Row],[New Unit Price]]</f>
        <v>500</v>
      </c>
      <c r="T384" s="25">
        <f>Invoices[[#This Row],[Revenue]]-Invoices[[#This Row],[Cost]]</f>
        <v>364.15</v>
      </c>
      <c r="U384" s="25" t="str">
        <f>TEXT(Invoices[[#This Row],[Date]],"MMM")</f>
        <v>Oct</v>
      </c>
      <c r="V384" s="29">
        <f>CHOOSE(MONTH(Invoices[[#This Row],[Date]]),1,1,1,2,2,2,3,3,3,4,4,4)</f>
        <v>4</v>
      </c>
      <c r="W384" s="30">
        <f>IFERROR(Invoices[[#This Row],[Profit]]/Invoices[[#This Row],[Revenue]],0)</f>
        <v>0.72829999999999995</v>
      </c>
    </row>
    <row r="385" spans="1:23" x14ac:dyDescent="0.3">
      <c r="A385" s="19" t="s">
        <v>5</v>
      </c>
      <c r="B385" s="9">
        <v>22931</v>
      </c>
      <c r="C385" s="15">
        <v>41548</v>
      </c>
      <c r="D385" s="9">
        <v>119</v>
      </c>
      <c r="E385" s="10" t="s">
        <v>87</v>
      </c>
      <c r="F385" s="8">
        <v>2</v>
      </c>
      <c r="G385" s="10"/>
      <c r="H385" s="4" t="s">
        <v>136</v>
      </c>
      <c r="I385" s="4" t="s">
        <v>53</v>
      </c>
      <c r="J385" s="4">
        <v>5</v>
      </c>
      <c r="K385" s="23">
        <v>140</v>
      </c>
      <c r="L385">
        <f>IF(Invoices[[#This Row],[Document Type]]="Return",Invoices[[#This Row],[Unit Price]]*-1,Invoices[[#This Row],[Unit Price]])</f>
        <v>140</v>
      </c>
      <c r="M385" t="str">
        <f>IF(Invoices[[#This Row],[New Unit Price]]&lt;0,"Return",
IF(Invoices[[#This Row],[New Unit Price]]=0,"Free",IF(Invoices[[#This Row],[New Unit Price]]&lt;100,"Basic","Premium")))</f>
        <v>Premium</v>
      </c>
      <c r="N385">
        <f>VLOOKUP(Invoices[[#This Row],[Part  '#]],Products[],4,0)</f>
        <v>34.299999999999997</v>
      </c>
      <c r="O385" t="str">
        <f>VLOOKUP(Invoices[[#This Row],[Customer Account]],Customers[],4,0)</f>
        <v>Financial</v>
      </c>
      <c r="P385" t="str">
        <f>VLOOKUP(Invoices[[#This Row],[Customer Account]],Customers[],3,0)</f>
        <v>Georgia</v>
      </c>
      <c r="Q385" t="str">
        <f>VLOOKUP(Invoices[[#This Row],[Part  '#]],Products[],3,0)</f>
        <v>Consumables</v>
      </c>
      <c r="R385" s="25">
        <f>Invoices[[#This Row],[Quantity]]*Invoices[[#This Row],[Unit Cost]]</f>
        <v>171.5</v>
      </c>
      <c r="S385" s="25">
        <f>Invoices[[#This Row],[Quantity]]*Invoices[[#This Row],[New Unit Price]]</f>
        <v>700</v>
      </c>
      <c r="T385" s="25">
        <f>Invoices[[#This Row],[Revenue]]-Invoices[[#This Row],[Cost]]</f>
        <v>528.5</v>
      </c>
      <c r="U385" s="25" t="str">
        <f>TEXT(Invoices[[#This Row],[Date]],"MMM")</f>
        <v>Oct</v>
      </c>
      <c r="V385" s="29">
        <f>CHOOSE(MONTH(Invoices[[#This Row],[Date]]),1,1,1,2,2,2,3,3,3,4,4,4)</f>
        <v>4</v>
      </c>
      <c r="W385" s="30">
        <f>IFERROR(Invoices[[#This Row],[Profit]]/Invoices[[#This Row],[Revenue]],0)</f>
        <v>0.755</v>
      </c>
    </row>
    <row r="386" spans="1:23" x14ac:dyDescent="0.3">
      <c r="A386" s="19" t="s">
        <v>5</v>
      </c>
      <c r="B386" s="9">
        <v>22931</v>
      </c>
      <c r="C386" s="15">
        <v>41548</v>
      </c>
      <c r="D386" s="9">
        <v>119</v>
      </c>
      <c r="E386" s="10" t="s">
        <v>87</v>
      </c>
      <c r="F386" s="8">
        <v>3</v>
      </c>
      <c r="G386" s="10"/>
      <c r="H386" s="4" t="s">
        <v>128</v>
      </c>
      <c r="I386" s="4" t="s">
        <v>45</v>
      </c>
      <c r="J386" s="4">
        <v>50</v>
      </c>
      <c r="K386" s="23">
        <v>25</v>
      </c>
      <c r="L386">
        <f>IF(Invoices[[#This Row],[Document Type]]="Return",Invoices[[#This Row],[Unit Price]]*-1,Invoices[[#This Row],[Unit Price]])</f>
        <v>25</v>
      </c>
      <c r="M386" t="str">
        <f>IF(Invoices[[#This Row],[New Unit Price]]&lt;0,"Return",
IF(Invoices[[#This Row],[New Unit Price]]=0,"Free",IF(Invoices[[#This Row],[New Unit Price]]&lt;100,"Basic","Premium")))</f>
        <v>Basic</v>
      </c>
      <c r="N386">
        <f>VLOOKUP(Invoices[[#This Row],[Part  '#]],Products[],4,0)</f>
        <v>5.16</v>
      </c>
      <c r="O386" t="str">
        <f>VLOOKUP(Invoices[[#This Row],[Customer Account]],Customers[],4,0)</f>
        <v>Financial</v>
      </c>
      <c r="P386" t="str">
        <f>VLOOKUP(Invoices[[#This Row],[Customer Account]],Customers[],3,0)</f>
        <v>Georgia</v>
      </c>
      <c r="Q386" t="str">
        <f>VLOOKUP(Invoices[[#This Row],[Part  '#]],Products[],3,0)</f>
        <v>Consumables</v>
      </c>
      <c r="R386" s="25">
        <f>Invoices[[#This Row],[Quantity]]*Invoices[[#This Row],[Unit Cost]]</f>
        <v>258</v>
      </c>
      <c r="S386" s="25">
        <f>Invoices[[#This Row],[Quantity]]*Invoices[[#This Row],[New Unit Price]]</f>
        <v>1250</v>
      </c>
      <c r="T386" s="25">
        <f>Invoices[[#This Row],[Revenue]]-Invoices[[#This Row],[Cost]]</f>
        <v>992</v>
      </c>
      <c r="U386" s="25" t="str">
        <f>TEXT(Invoices[[#This Row],[Date]],"MMM")</f>
        <v>Oct</v>
      </c>
      <c r="V386" s="29">
        <f>CHOOSE(MONTH(Invoices[[#This Row],[Date]]),1,1,1,2,2,2,3,3,3,4,4,4)</f>
        <v>4</v>
      </c>
      <c r="W386" s="30">
        <f>IFERROR(Invoices[[#This Row],[Profit]]/Invoices[[#This Row],[Revenue]],0)</f>
        <v>0.79359999999999997</v>
      </c>
    </row>
    <row r="387" spans="1:23" x14ac:dyDescent="0.3">
      <c r="A387" s="19" t="s">
        <v>5</v>
      </c>
      <c r="B387" s="9">
        <v>22931</v>
      </c>
      <c r="C387" s="15">
        <v>41548</v>
      </c>
      <c r="D387" s="9">
        <v>119</v>
      </c>
      <c r="E387" s="10" t="s">
        <v>87</v>
      </c>
      <c r="F387" s="8">
        <v>4</v>
      </c>
      <c r="G387" s="10"/>
      <c r="H387" s="4" t="s">
        <v>130</v>
      </c>
      <c r="I387" s="4" t="s">
        <v>47</v>
      </c>
      <c r="J387" s="4">
        <v>50</v>
      </c>
      <c r="K387" s="23">
        <v>24</v>
      </c>
      <c r="L387">
        <f>IF(Invoices[[#This Row],[Document Type]]="Return",Invoices[[#This Row],[Unit Price]]*-1,Invoices[[#This Row],[Unit Price]])</f>
        <v>24</v>
      </c>
      <c r="M387" t="str">
        <f>IF(Invoices[[#This Row],[New Unit Price]]&lt;0,"Return",
IF(Invoices[[#This Row],[New Unit Price]]=0,"Free",IF(Invoices[[#This Row],[New Unit Price]]&lt;100,"Basic","Premium")))</f>
        <v>Basic</v>
      </c>
      <c r="N387">
        <f>VLOOKUP(Invoices[[#This Row],[Part  '#]],Products[],4,0)</f>
        <v>7.09</v>
      </c>
      <c r="O387" t="str">
        <f>VLOOKUP(Invoices[[#This Row],[Customer Account]],Customers[],4,0)</f>
        <v>Financial</v>
      </c>
      <c r="P387" t="str">
        <f>VLOOKUP(Invoices[[#This Row],[Customer Account]],Customers[],3,0)</f>
        <v>Georgia</v>
      </c>
      <c r="Q387" t="str">
        <f>VLOOKUP(Invoices[[#This Row],[Part  '#]],Products[],3,0)</f>
        <v>Consumables</v>
      </c>
      <c r="R387" s="25">
        <f>Invoices[[#This Row],[Quantity]]*Invoices[[#This Row],[Unit Cost]]</f>
        <v>354.5</v>
      </c>
      <c r="S387" s="25">
        <f>Invoices[[#This Row],[Quantity]]*Invoices[[#This Row],[New Unit Price]]</f>
        <v>1200</v>
      </c>
      <c r="T387" s="25">
        <f>Invoices[[#This Row],[Revenue]]-Invoices[[#This Row],[Cost]]</f>
        <v>845.5</v>
      </c>
      <c r="U387" s="25" t="str">
        <f>TEXT(Invoices[[#This Row],[Date]],"MMM")</f>
        <v>Oct</v>
      </c>
      <c r="V387" s="29">
        <f>CHOOSE(MONTH(Invoices[[#This Row],[Date]]),1,1,1,2,2,2,3,3,3,4,4,4)</f>
        <v>4</v>
      </c>
      <c r="W387" s="30">
        <f>IFERROR(Invoices[[#This Row],[Profit]]/Invoices[[#This Row],[Revenue]],0)</f>
        <v>0.70458333333333334</v>
      </c>
    </row>
    <row r="388" spans="1:23" x14ac:dyDescent="0.3">
      <c r="A388" s="19" t="s">
        <v>5</v>
      </c>
      <c r="B388" s="9">
        <v>22932</v>
      </c>
      <c r="C388" s="15">
        <v>41562</v>
      </c>
      <c r="D388" s="9">
        <v>101</v>
      </c>
      <c r="E388" s="10" t="s">
        <v>61</v>
      </c>
      <c r="F388" s="8">
        <v>1</v>
      </c>
      <c r="G388" s="10"/>
      <c r="H388" s="4" t="s">
        <v>106</v>
      </c>
      <c r="I388" s="4" t="s">
        <v>20</v>
      </c>
      <c r="J388" s="4">
        <v>10</v>
      </c>
      <c r="K388" s="23">
        <v>2100</v>
      </c>
      <c r="L388">
        <f>IF(Invoices[[#This Row],[Document Type]]="Return",Invoices[[#This Row],[Unit Price]]*-1,Invoices[[#This Row],[Unit Price]])</f>
        <v>2100</v>
      </c>
      <c r="M388" t="str">
        <f>IF(Invoices[[#This Row],[New Unit Price]]&lt;0,"Return",
IF(Invoices[[#This Row],[New Unit Price]]=0,"Free",IF(Invoices[[#This Row],[New Unit Price]]&lt;100,"Basic","Premium")))</f>
        <v>Premium</v>
      </c>
      <c r="N388">
        <f>VLOOKUP(Invoices[[#This Row],[Part  '#]],Products[],4,0)</f>
        <v>1155.3699999999999</v>
      </c>
      <c r="O388" t="str">
        <f>VLOOKUP(Invoices[[#This Row],[Customer Account]],Customers[],4,0)</f>
        <v>Automotive</v>
      </c>
      <c r="P388" t="str">
        <f>VLOOKUP(Invoices[[#This Row],[Customer Account]],Customers[],3,0)</f>
        <v>Georgia</v>
      </c>
      <c r="Q388" t="str">
        <f>VLOOKUP(Invoices[[#This Row],[Part  '#]],Products[],3,0)</f>
        <v>Product</v>
      </c>
      <c r="R388" s="25">
        <f>Invoices[[#This Row],[Quantity]]*Invoices[[#This Row],[Unit Cost]]</f>
        <v>11553.699999999999</v>
      </c>
      <c r="S388" s="25">
        <f>Invoices[[#This Row],[Quantity]]*Invoices[[#This Row],[New Unit Price]]</f>
        <v>21000</v>
      </c>
      <c r="T388" s="25">
        <f>Invoices[[#This Row],[Revenue]]-Invoices[[#This Row],[Cost]]</f>
        <v>9446.3000000000011</v>
      </c>
      <c r="U388" s="25" t="str">
        <f>TEXT(Invoices[[#This Row],[Date]],"MMM")</f>
        <v>Oct</v>
      </c>
      <c r="V388" s="29">
        <f>CHOOSE(MONTH(Invoices[[#This Row],[Date]]),1,1,1,2,2,2,3,3,3,4,4,4)</f>
        <v>4</v>
      </c>
      <c r="W388" s="30">
        <f>IFERROR(Invoices[[#This Row],[Profit]]/Invoices[[#This Row],[Revenue]],0)</f>
        <v>0.44982380952380957</v>
      </c>
    </row>
    <row r="389" spans="1:23" x14ac:dyDescent="0.3">
      <c r="A389" s="19" t="s">
        <v>5</v>
      </c>
      <c r="B389" s="9">
        <v>22932</v>
      </c>
      <c r="C389" s="15">
        <v>41562</v>
      </c>
      <c r="D389" s="9">
        <v>101</v>
      </c>
      <c r="E389" s="10" t="s">
        <v>61</v>
      </c>
      <c r="F389" s="8">
        <v>2</v>
      </c>
      <c r="G389" s="10"/>
      <c r="H389" s="4" t="s">
        <v>137</v>
      </c>
      <c r="I389" s="4" t="s">
        <v>31</v>
      </c>
      <c r="J389" s="4">
        <v>10</v>
      </c>
      <c r="K389" s="23">
        <v>0</v>
      </c>
      <c r="L389">
        <f>IF(Invoices[[#This Row],[Document Type]]="Return",Invoices[[#This Row],[Unit Price]]*-1,Invoices[[#This Row],[Unit Price]])</f>
        <v>0</v>
      </c>
      <c r="M389" t="str">
        <f>IF(Invoices[[#This Row],[New Unit Price]]&lt;0,"Return",
IF(Invoices[[#This Row],[New Unit Price]]=0,"Free",IF(Invoices[[#This Row],[New Unit Price]]&lt;100,"Basic","Premium")))</f>
        <v>Free</v>
      </c>
      <c r="N389">
        <f>VLOOKUP(Invoices[[#This Row],[Part  '#]],Products[],4,0)</f>
        <v>6.3</v>
      </c>
      <c r="O389" t="str">
        <f>VLOOKUP(Invoices[[#This Row],[Customer Account]],Customers[],4,0)</f>
        <v>Automotive</v>
      </c>
      <c r="P389" t="str">
        <f>VLOOKUP(Invoices[[#This Row],[Customer Account]],Customers[],3,0)</f>
        <v>Georgia</v>
      </c>
      <c r="Q389" t="str">
        <f>VLOOKUP(Invoices[[#This Row],[Part  '#]],Products[],3,0)</f>
        <v>Accessories</v>
      </c>
      <c r="R389" s="25">
        <f>Invoices[[#This Row],[Quantity]]*Invoices[[#This Row],[Unit Cost]]</f>
        <v>63</v>
      </c>
      <c r="S389" s="25">
        <f>Invoices[[#This Row],[Quantity]]*Invoices[[#This Row],[New Unit Price]]</f>
        <v>0</v>
      </c>
      <c r="T389" s="25">
        <f>Invoices[[#This Row],[Revenue]]-Invoices[[#This Row],[Cost]]</f>
        <v>-63</v>
      </c>
      <c r="U389" s="25" t="str">
        <f>TEXT(Invoices[[#This Row],[Date]],"MMM")</f>
        <v>Oct</v>
      </c>
      <c r="V389" s="29">
        <f>CHOOSE(MONTH(Invoices[[#This Row],[Date]]),1,1,1,2,2,2,3,3,3,4,4,4)</f>
        <v>4</v>
      </c>
      <c r="W389" s="30">
        <f>IFERROR(Invoices[[#This Row],[Profit]]/Invoices[[#This Row],[Revenue]],0)</f>
        <v>0</v>
      </c>
    </row>
    <row r="390" spans="1:23" x14ac:dyDescent="0.3">
      <c r="A390" s="19" t="s">
        <v>5</v>
      </c>
      <c r="B390" s="9">
        <v>22932</v>
      </c>
      <c r="C390" s="15">
        <v>41562</v>
      </c>
      <c r="D390" s="9">
        <v>101</v>
      </c>
      <c r="E390" s="10" t="s">
        <v>61</v>
      </c>
      <c r="F390" s="8">
        <v>3</v>
      </c>
      <c r="G390" s="10"/>
      <c r="H390" s="4" t="s">
        <v>117</v>
      </c>
      <c r="I390" s="4" t="s">
        <v>33</v>
      </c>
      <c r="J390" s="4">
        <v>10</v>
      </c>
      <c r="K390" s="23">
        <v>0</v>
      </c>
      <c r="L390">
        <f>IF(Invoices[[#This Row],[Document Type]]="Return",Invoices[[#This Row],[Unit Price]]*-1,Invoices[[#This Row],[Unit Price]])</f>
        <v>0</v>
      </c>
      <c r="M390" t="str">
        <f>IF(Invoices[[#This Row],[New Unit Price]]&lt;0,"Return",
IF(Invoices[[#This Row],[New Unit Price]]=0,"Free",IF(Invoices[[#This Row],[New Unit Price]]&lt;100,"Basic","Premium")))</f>
        <v>Free</v>
      </c>
      <c r="N390">
        <f>VLOOKUP(Invoices[[#This Row],[Part  '#]],Products[],4,0)</f>
        <v>11.59</v>
      </c>
      <c r="O390" t="str">
        <f>VLOOKUP(Invoices[[#This Row],[Customer Account]],Customers[],4,0)</f>
        <v>Automotive</v>
      </c>
      <c r="P390" t="str">
        <f>VLOOKUP(Invoices[[#This Row],[Customer Account]],Customers[],3,0)</f>
        <v>Georgia</v>
      </c>
      <c r="Q390" t="str">
        <f>VLOOKUP(Invoices[[#This Row],[Part  '#]],Products[],3,0)</f>
        <v>Accessories</v>
      </c>
      <c r="R390" s="25">
        <f>Invoices[[#This Row],[Quantity]]*Invoices[[#This Row],[Unit Cost]]</f>
        <v>115.9</v>
      </c>
      <c r="S390" s="25">
        <f>Invoices[[#This Row],[Quantity]]*Invoices[[#This Row],[New Unit Price]]</f>
        <v>0</v>
      </c>
      <c r="T390" s="25">
        <f>Invoices[[#This Row],[Revenue]]-Invoices[[#This Row],[Cost]]</f>
        <v>-115.9</v>
      </c>
      <c r="U390" s="25" t="str">
        <f>TEXT(Invoices[[#This Row],[Date]],"MMM")</f>
        <v>Oct</v>
      </c>
      <c r="V390" s="29">
        <f>CHOOSE(MONTH(Invoices[[#This Row],[Date]]),1,1,1,2,2,2,3,3,3,4,4,4)</f>
        <v>4</v>
      </c>
      <c r="W390" s="30">
        <f>IFERROR(Invoices[[#This Row],[Profit]]/Invoices[[#This Row],[Revenue]],0)</f>
        <v>0</v>
      </c>
    </row>
    <row r="391" spans="1:23" x14ac:dyDescent="0.3">
      <c r="A391" s="19" t="s">
        <v>5</v>
      </c>
      <c r="B391" s="9">
        <v>22932</v>
      </c>
      <c r="C391" s="15">
        <v>41562</v>
      </c>
      <c r="D391" s="9">
        <v>101</v>
      </c>
      <c r="E391" s="10" t="s">
        <v>61</v>
      </c>
      <c r="F391" s="8">
        <v>4</v>
      </c>
      <c r="G391" s="10"/>
      <c r="H391" s="4" t="s">
        <v>119</v>
      </c>
      <c r="I391" s="4" t="s">
        <v>43</v>
      </c>
      <c r="J391" s="4">
        <v>10</v>
      </c>
      <c r="K391" s="23">
        <v>0</v>
      </c>
      <c r="L391">
        <f>IF(Invoices[[#This Row],[Document Type]]="Return",Invoices[[#This Row],[Unit Price]]*-1,Invoices[[#This Row],[Unit Price]])</f>
        <v>0</v>
      </c>
      <c r="M391" t="str">
        <f>IF(Invoices[[#This Row],[New Unit Price]]&lt;0,"Return",
IF(Invoices[[#This Row],[New Unit Price]]=0,"Free",IF(Invoices[[#This Row],[New Unit Price]]&lt;100,"Basic","Premium")))</f>
        <v>Free</v>
      </c>
      <c r="N391">
        <f>VLOOKUP(Invoices[[#This Row],[Part  '#]],Products[],4,0)</f>
        <v>17.22</v>
      </c>
      <c r="O391" t="str">
        <f>VLOOKUP(Invoices[[#This Row],[Customer Account]],Customers[],4,0)</f>
        <v>Automotive</v>
      </c>
      <c r="P391" t="str">
        <f>VLOOKUP(Invoices[[#This Row],[Customer Account]],Customers[],3,0)</f>
        <v>Georgia</v>
      </c>
      <c r="Q391" t="str">
        <f>VLOOKUP(Invoices[[#This Row],[Part  '#]],Products[],3,0)</f>
        <v>Accessories</v>
      </c>
      <c r="R391" s="25">
        <f>Invoices[[#This Row],[Quantity]]*Invoices[[#This Row],[Unit Cost]]</f>
        <v>172.2</v>
      </c>
      <c r="S391" s="25">
        <f>Invoices[[#This Row],[Quantity]]*Invoices[[#This Row],[New Unit Price]]</f>
        <v>0</v>
      </c>
      <c r="T391" s="25">
        <f>Invoices[[#This Row],[Revenue]]-Invoices[[#This Row],[Cost]]</f>
        <v>-172.2</v>
      </c>
      <c r="U391" s="25" t="str">
        <f>TEXT(Invoices[[#This Row],[Date]],"MMM")</f>
        <v>Oct</v>
      </c>
      <c r="V391" s="29">
        <f>CHOOSE(MONTH(Invoices[[#This Row],[Date]]),1,1,1,2,2,2,3,3,3,4,4,4)</f>
        <v>4</v>
      </c>
      <c r="W391" s="30">
        <f>IFERROR(Invoices[[#This Row],[Profit]]/Invoices[[#This Row],[Revenue]],0)</f>
        <v>0</v>
      </c>
    </row>
    <row r="392" spans="1:23" x14ac:dyDescent="0.3">
      <c r="A392" s="19" t="s">
        <v>5</v>
      </c>
      <c r="B392" s="9">
        <v>22933</v>
      </c>
      <c r="C392" s="15">
        <v>41562</v>
      </c>
      <c r="D392" s="9">
        <v>110</v>
      </c>
      <c r="E392" s="10" t="s">
        <v>75</v>
      </c>
      <c r="F392" s="8">
        <v>1</v>
      </c>
      <c r="G392" s="10"/>
      <c r="H392" s="4" t="s">
        <v>135</v>
      </c>
      <c r="I392" s="4" t="s">
        <v>52</v>
      </c>
      <c r="J392" s="4">
        <v>10</v>
      </c>
      <c r="K392" s="23">
        <v>100</v>
      </c>
      <c r="L392">
        <f>IF(Invoices[[#This Row],[Document Type]]="Return",Invoices[[#This Row],[Unit Price]]*-1,Invoices[[#This Row],[Unit Price]])</f>
        <v>100</v>
      </c>
      <c r="M392" t="str">
        <f>IF(Invoices[[#This Row],[New Unit Price]]&lt;0,"Return",
IF(Invoices[[#This Row],[New Unit Price]]=0,"Free",IF(Invoices[[#This Row],[New Unit Price]]&lt;100,"Basic","Premium")))</f>
        <v>Premium</v>
      </c>
      <c r="N392">
        <f>VLOOKUP(Invoices[[#This Row],[Part  '#]],Products[],4,0)</f>
        <v>27.17</v>
      </c>
      <c r="O392" t="str">
        <f>VLOOKUP(Invoices[[#This Row],[Customer Account]],Customers[],4,0)</f>
        <v>Automotive</v>
      </c>
      <c r="P392" t="str">
        <f>VLOOKUP(Invoices[[#This Row],[Customer Account]],Customers[],3,0)</f>
        <v>Alabama</v>
      </c>
      <c r="Q392" t="str">
        <f>VLOOKUP(Invoices[[#This Row],[Part  '#]],Products[],3,0)</f>
        <v>Consumables</v>
      </c>
      <c r="R392" s="25">
        <f>Invoices[[#This Row],[Quantity]]*Invoices[[#This Row],[Unit Cost]]</f>
        <v>271.70000000000005</v>
      </c>
      <c r="S392" s="25">
        <f>Invoices[[#This Row],[Quantity]]*Invoices[[#This Row],[New Unit Price]]</f>
        <v>1000</v>
      </c>
      <c r="T392" s="25">
        <f>Invoices[[#This Row],[Revenue]]-Invoices[[#This Row],[Cost]]</f>
        <v>728.3</v>
      </c>
      <c r="U392" s="25" t="str">
        <f>TEXT(Invoices[[#This Row],[Date]],"MMM")</f>
        <v>Oct</v>
      </c>
      <c r="V392" s="29">
        <f>CHOOSE(MONTH(Invoices[[#This Row],[Date]]),1,1,1,2,2,2,3,3,3,4,4,4)</f>
        <v>4</v>
      </c>
      <c r="W392" s="30">
        <f>IFERROR(Invoices[[#This Row],[Profit]]/Invoices[[#This Row],[Revenue]],0)</f>
        <v>0.72829999999999995</v>
      </c>
    </row>
    <row r="393" spans="1:23" x14ac:dyDescent="0.3">
      <c r="A393" s="19" t="s">
        <v>5</v>
      </c>
      <c r="B393" s="9">
        <v>22933</v>
      </c>
      <c r="C393" s="15">
        <v>41562</v>
      </c>
      <c r="D393" s="9">
        <v>110</v>
      </c>
      <c r="E393" s="10" t="s">
        <v>75</v>
      </c>
      <c r="F393" s="8">
        <v>2</v>
      </c>
      <c r="G393" s="10"/>
      <c r="H393" s="4" t="s">
        <v>136</v>
      </c>
      <c r="I393" s="4" t="s">
        <v>53</v>
      </c>
      <c r="J393" s="4">
        <v>10</v>
      </c>
      <c r="K393" s="23">
        <v>140</v>
      </c>
      <c r="L393">
        <f>IF(Invoices[[#This Row],[Document Type]]="Return",Invoices[[#This Row],[Unit Price]]*-1,Invoices[[#This Row],[Unit Price]])</f>
        <v>140</v>
      </c>
      <c r="M393" t="str">
        <f>IF(Invoices[[#This Row],[New Unit Price]]&lt;0,"Return",
IF(Invoices[[#This Row],[New Unit Price]]=0,"Free",IF(Invoices[[#This Row],[New Unit Price]]&lt;100,"Basic","Premium")))</f>
        <v>Premium</v>
      </c>
      <c r="N393">
        <f>VLOOKUP(Invoices[[#This Row],[Part  '#]],Products[],4,0)</f>
        <v>34.299999999999997</v>
      </c>
      <c r="O393" t="str">
        <f>VLOOKUP(Invoices[[#This Row],[Customer Account]],Customers[],4,0)</f>
        <v>Automotive</v>
      </c>
      <c r="P393" t="str">
        <f>VLOOKUP(Invoices[[#This Row],[Customer Account]],Customers[],3,0)</f>
        <v>Alabama</v>
      </c>
      <c r="Q393" t="str">
        <f>VLOOKUP(Invoices[[#This Row],[Part  '#]],Products[],3,0)</f>
        <v>Consumables</v>
      </c>
      <c r="R393" s="25">
        <f>Invoices[[#This Row],[Quantity]]*Invoices[[#This Row],[Unit Cost]]</f>
        <v>343</v>
      </c>
      <c r="S393" s="25">
        <f>Invoices[[#This Row],[Quantity]]*Invoices[[#This Row],[New Unit Price]]</f>
        <v>1400</v>
      </c>
      <c r="T393" s="25">
        <f>Invoices[[#This Row],[Revenue]]-Invoices[[#This Row],[Cost]]</f>
        <v>1057</v>
      </c>
      <c r="U393" s="25" t="str">
        <f>TEXT(Invoices[[#This Row],[Date]],"MMM")</f>
        <v>Oct</v>
      </c>
      <c r="V393" s="29">
        <f>CHOOSE(MONTH(Invoices[[#This Row],[Date]]),1,1,1,2,2,2,3,3,3,4,4,4)</f>
        <v>4</v>
      </c>
      <c r="W393" s="30">
        <f>IFERROR(Invoices[[#This Row],[Profit]]/Invoices[[#This Row],[Revenue]],0)</f>
        <v>0.755</v>
      </c>
    </row>
    <row r="394" spans="1:23" x14ac:dyDescent="0.3">
      <c r="A394" s="19" t="s">
        <v>5</v>
      </c>
      <c r="B394" s="9">
        <v>22933</v>
      </c>
      <c r="C394" s="15">
        <v>41562</v>
      </c>
      <c r="D394" s="9">
        <v>110</v>
      </c>
      <c r="E394" s="10" t="s">
        <v>75</v>
      </c>
      <c r="F394" s="8">
        <v>3</v>
      </c>
      <c r="G394" s="10"/>
      <c r="H394" s="4" t="s">
        <v>131</v>
      </c>
      <c r="I394" s="4" t="s">
        <v>48</v>
      </c>
      <c r="J394" s="4">
        <v>24</v>
      </c>
      <c r="K394" s="23">
        <v>50</v>
      </c>
      <c r="L394">
        <f>IF(Invoices[[#This Row],[Document Type]]="Return",Invoices[[#This Row],[Unit Price]]*-1,Invoices[[#This Row],[Unit Price]])</f>
        <v>50</v>
      </c>
      <c r="M394" t="str">
        <f>IF(Invoices[[#This Row],[New Unit Price]]&lt;0,"Return",
IF(Invoices[[#This Row],[New Unit Price]]=0,"Free",IF(Invoices[[#This Row],[New Unit Price]]&lt;100,"Basic","Premium")))</f>
        <v>Basic</v>
      </c>
      <c r="N394">
        <f>VLOOKUP(Invoices[[#This Row],[Part  '#]],Products[],4,0)</f>
        <v>11.67</v>
      </c>
      <c r="O394" t="str">
        <f>VLOOKUP(Invoices[[#This Row],[Customer Account]],Customers[],4,0)</f>
        <v>Automotive</v>
      </c>
      <c r="P394" t="str">
        <f>VLOOKUP(Invoices[[#This Row],[Customer Account]],Customers[],3,0)</f>
        <v>Alabama</v>
      </c>
      <c r="Q394" t="str">
        <f>VLOOKUP(Invoices[[#This Row],[Part  '#]],Products[],3,0)</f>
        <v>Consumables</v>
      </c>
      <c r="R394" s="25">
        <f>Invoices[[#This Row],[Quantity]]*Invoices[[#This Row],[Unit Cost]]</f>
        <v>280.08</v>
      </c>
      <c r="S394" s="25">
        <f>Invoices[[#This Row],[Quantity]]*Invoices[[#This Row],[New Unit Price]]</f>
        <v>1200</v>
      </c>
      <c r="T394" s="25">
        <f>Invoices[[#This Row],[Revenue]]-Invoices[[#This Row],[Cost]]</f>
        <v>919.92000000000007</v>
      </c>
      <c r="U394" s="25" t="str">
        <f>TEXT(Invoices[[#This Row],[Date]],"MMM")</f>
        <v>Oct</v>
      </c>
      <c r="V394" s="29">
        <f>CHOOSE(MONTH(Invoices[[#This Row],[Date]]),1,1,1,2,2,2,3,3,3,4,4,4)</f>
        <v>4</v>
      </c>
      <c r="W394" s="30">
        <f>IFERROR(Invoices[[#This Row],[Profit]]/Invoices[[#This Row],[Revenue]],0)</f>
        <v>0.76660000000000006</v>
      </c>
    </row>
    <row r="395" spans="1:23" x14ac:dyDescent="0.3">
      <c r="A395" s="19" t="s">
        <v>5</v>
      </c>
      <c r="B395" s="9">
        <v>22933</v>
      </c>
      <c r="C395" s="15">
        <v>41562</v>
      </c>
      <c r="D395" s="9">
        <v>110</v>
      </c>
      <c r="E395" s="10" t="s">
        <v>75</v>
      </c>
      <c r="F395" s="8">
        <v>4</v>
      </c>
      <c r="G395" s="10"/>
      <c r="H395" s="4" t="s">
        <v>125</v>
      </c>
      <c r="I395" s="4" t="s">
        <v>40</v>
      </c>
      <c r="J395" s="4">
        <v>24</v>
      </c>
      <c r="K395" s="23">
        <v>30</v>
      </c>
      <c r="L395">
        <f>IF(Invoices[[#This Row],[Document Type]]="Return",Invoices[[#This Row],[Unit Price]]*-1,Invoices[[#This Row],[Unit Price]])</f>
        <v>30</v>
      </c>
      <c r="M395" t="str">
        <f>IF(Invoices[[#This Row],[New Unit Price]]&lt;0,"Return",
IF(Invoices[[#This Row],[New Unit Price]]=0,"Free",IF(Invoices[[#This Row],[New Unit Price]]&lt;100,"Basic","Premium")))</f>
        <v>Basic</v>
      </c>
      <c r="N395">
        <f>VLOOKUP(Invoices[[#This Row],[Part  '#]],Products[],4,0)</f>
        <v>6.9</v>
      </c>
      <c r="O395" t="str">
        <f>VLOOKUP(Invoices[[#This Row],[Customer Account]],Customers[],4,0)</f>
        <v>Automotive</v>
      </c>
      <c r="P395" t="str">
        <f>VLOOKUP(Invoices[[#This Row],[Customer Account]],Customers[],3,0)</f>
        <v>Alabama</v>
      </c>
      <c r="Q395" t="str">
        <f>VLOOKUP(Invoices[[#This Row],[Part  '#]],Products[],3,0)</f>
        <v>Consumables</v>
      </c>
      <c r="R395" s="25">
        <f>Invoices[[#This Row],[Quantity]]*Invoices[[#This Row],[Unit Cost]]</f>
        <v>165.60000000000002</v>
      </c>
      <c r="S395" s="25">
        <f>Invoices[[#This Row],[Quantity]]*Invoices[[#This Row],[New Unit Price]]</f>
        <v>720</v>
      </c>
      <c r="T395" s="25">
        <f>Invoices[[#This Row],[Revenue]]-Invoices[[#This Row],[Cost]]</f>
        <v>554.4</v>
      </c>
      <c r="U395" s="25" t="str">
        <f>TEXT(Invoices[[#This Row],[Date]],"MMM")</f>
        <v>Oct</v>
      </c>
      <c r="V395" s="29">
        <f>CHOOSE(MONTH(Invoices[[#This Row],[Date]]),1,1,1,2,2,2,3,3,3,4,4,4)</f>
        <v>4</v>
      </c>
      <c r="W395" s="30">
        <f>IFERROR(Invoices[[#This Row],[Profit]]/Invoices[[#This Row],[Revenue]],0)</f>
        <v>0.77</v>
      </c>
    </row>
    <row r="396" spans="1:23" x14ac:dyDescent="0.3">
      <c r="A396" s="19" t="s">
        <v>5</v>
      </c>
      <c r="B396" s="9">
        <v>22934</v>
      </c>
      <c r="C396" s="15">
        <v>41562</v>
      </c>
      <c r="D396" s="9">
        <v>116</v>
      </c>
      <c r="E396" s="10" t="s">
        <v>84</v>
      </c>
      <c r="F396" s="8">
        <v>1</v>
      </c>
      <c r="G396" s="10"/>
      <c r="H396" s="4" t="s">
        <v>105</v>
      </c>
      <c r="I396" s="4" t="s">
        <v>19</v>
      </c>
      <c r="J396" s="4">
        <v>24</v>
      </c>
      <c r="K396" s="23">
        <v>1800</v>
      </c>
      <c r="L396">
        <f>IF(Invoices[[#This Row],[Document Type]]="Return",Invoices[[#This Row],[Unit Price]]*-1,Invoices[[#This Row],[Unit Price]])</f>
        <v>1800</v>
      </c>
      <c r="M396" t="str">
        <f>IF(Invoices[[#This Row],[New Unit Price]]&lt;0,"Return",
IF(Invoices[[#This Row],[New Unit Price]]=0,"Free",IF(Invoices[[#This Row],[New Unit Price]]&lt;100,"Basic","Premium")))</f>
        <v>Premium</v>
      </c>
      <c r="N396">
        <f>VLOOKUP(Invoices[[#This Row],[Part  '#]],Products[],4,0)</f>
        <v>995.59</v>
      </c>
      <c r="O396" t="str">
        <f>VLOOKUP(Invoices[[#This Row],[Customer Account]],Customers[],4,0)</f>
        <v>Automotive</v>
      </c>
      <c r="P396" t="str">
        <f>VLOOKUP(Invoices[[#This Row],[Customer Account]],Customers[],3,0)</f>
        <v>Tennessee</v>
      </c>
      <c r="Q396" t="str">
        <f>VLOOKUP(Invoices[[#This Row],[Part  '#]],Products[],3,0)</f>
        <v>Product</v>
      </c>
      <c r="R396" s="25">
        <f>Invoices[[#This Row],[Quantity]]*Invoices[[#This Row],[Unit Cost]]</f>
        <v>23894.16</v>
      </c>
      <c r="S396" s="25">
        <f>Invoices[[#This Row],[Quantity]]*Invoices[[#This Row],[New Unit Price]]</f>
        <v>43200</v>
      </c>
      <c r="T396" s="25">
        <f>Invoices[[#This Row],[Revenue]]-Invoices[[#This Row],[Cost]]</f>
        <v>19305.84</v>
      </c>
      <c r="U396" s="25" t="str">
        <f>TEXT(Invoices[[#This Row],[Date]],"MMM")</f>
        <v>Oct</v>
      </c>
      <c r="V396" s="29">
        <f>CHOOSE(MONTH(Invoices[[#This Row],[Date]]),1,1,1,2,2,2,3,3,3,4,4,4)</f>
        <v>4</v>
      </c>
      <c r="W396" s="30">
        <f>IFERROR(Invoices[[#This Row],[Profit]]/Invoices[[#This Row],[Revenue]],0)</f>
        <v>0.44689444444444443</v>
      </c>
    </row>
    <row r="397" spans="1:23" x14ac:dyDescent="0.3">
      <c r="A397" s="19" t="s">
        <v>5</v>
      </c>
      <c r="B397" s="9">
        <v>22934</v>
      </c>
      <c r="C397" s="15">
        <v>41562</v>
      </c>
      <c r="D397" s="9">
        <v>116</v>
      </c>
      <c r="E397" s="10" t="s">
        <v>84</v>
      </c>
      <c r="F397" s="8">
        <v>2</v>
      </c>
      <c r="G397" s="10"/>
      <c r="H397" s="4" t="s">
        <v>137</v>
      </c>
      <c r="I397" s="4" t="s">
        <v>31</v>
      </c>
      <c r="J397" s="4">
        <v>24</v>
      </c>
      <c r="K397" s="23">
        <v>0</v>
      </c>
      <c r="L397">
        <f>IF(Invoices[[#This Row],[Document Type]]="Return",Invoices[[#This Row],[Unit Price]]*-1,Invoices[[#This Row],[Unit Price]])</f>
        <v>0</v>
      </c>
      <c r="M397" t="str">
        <f>IF(Invoices[[#This Row],[New Unit Price]]&lt;0,"Return",
IF(Invoices[[#This Row],[New Unit Price]]=0,"Free",IF(Invoices[[#This Row],[New Unit Price]]&lt;100,"Basic","Premium")))</f>
        <v>Free</v>
      </c>
      <c r="N397">
        <f>VLOOKUP(Invoices[[#This Row],[Part  '#]],Products[],4,0)</f>
        <v>6.3</v>
      </c>
      <c r="O397" t="str">
        <f>VLOOKUP(Invoices[[#This Row],[Customer Account]],Customers[],4,0)</f>
        <v>Automotive</v>
      </c>
      <c r="P397" t="str">
        <f>VLOOKUP(Invoices[[#This Row],[Customer Account]],Customers[],3,0)</f>
        <v>Tennessee</v>
      </c>
      <c r="Q397" t="str">
        <f>VLOOKUP(Invoices[[#This Row],[Part  '#]],Products[],3,0)</f>
        <v>Accessories</v>
      </c>
      <c r="R397" s="25">
        <f>Invoices[[#This Row],[Quantity]]*Invoices[[#This Row],[Unit Cost]]</f>
        <v>151.19999999999999</v>
      </c>
      <c r="S397" s="25">
        <f>Invoices[[#This Row],[Quantity]]*Invoices[[#This Row],[New Unit Price]]</f>
        <v>0</v>
      </c>
      <c r="T397" s="25">
        <f>Invoices[[#This Row],[Revenue]]-Invoices[[#This Row],[Cost]]</f>
        <v>-151.19999999999999</v>
      </c>
      <c r="U397" s="25" t="str">
        <f>TEXT(Invoices[[#This Row],[Date]],"MMM")</f>
        <v>Oct</v>
      </c>
      <c r="V397" s="29">
        <f>CHOOSE(MONTH(Invoices[[#This Row],[Date]]),1,1,1,2,2,2,3,3,3,4,4,4)</f>
        <v>4</v>
      </c>
      <c r="W397" s="30">
        <f>IFERROR(Invoices[[#This Row],[Profit]]/Invoices[[#This Row],[Revenue]],0)</f>
        <v>0</v>
      </c>
    </row>
    <row r="398" spans="1:23" x14ac:dyDescent="0.3">
      <c r="A398" s="19" t="s">
        <v>5</v>
      </c>
      <c r="B398" s="9">
        <v>22934</v>
      </c>
      <c r="C398" s="15">
        <v>41562</v>
      </c>
      <c r="D398" s="9">
        <v>116</v>
      </c>
      <c r="E398" s="10" t="s">
        <v>84</v>
      </c>
      <c r="F398" s="8">
        <v>3</v>
      </c>
      <c r="G398" s="10"/>
      <c r="H398" s="4" t="s">
        <v>117</v>
      </c>
      <c r="I398" s="4" t="s">
        <v>33</v>
      </c>
      <c r="J398" s="4">
        <v>24</v>
      </c>
      <c r="K398" s="23">
        <v>0</v>
      </c>
      <c r="L398">
        <f>IF(Invoices[[#This Row],[Document Type]]="Return",Invoices[[#This Row],[Unit Price]]*-1,Invoices[[#This Row],[Unit Price]])</f>
        <v>0</v>
      </c>
      <c r="M398" t="str">
        <f>IF(Invoices[[#This Row],[New Unit Price]]&lt;0,"Return",
IF(Invoices[[#This Row],[New Unit Price]]=0,"Free",IF(Invoices[[#This Row],[New Unit Price]]&lt;100,"Basic","Premium")))</f>
        <v>Free</v>
      </c>
      <c r="N398">
        <f>VLOOKUP(Invoices[[#This Row],[Part  '#]],Products[],4,0)</f>
        <v>11.59</v>
      </c>
      <c r="O398" t="str">
        <f>VLOOKUP(Invoices[[#This Row],[Customer Account]],Customers[],4,0)</f>
        <v>Automotive</v>
      </c>
      <c r="P398" t="str">
        <f>VLOOKUP(Invoices[[#This Row],[Customer Account]],Customers[],3,0)</f>
        <v>Tennessee</v>
      </c>
      <c r="Q398" t="str">
        <f>VLOOKUP(Invoices[[#This Row],[Part  '#]],Products[],3,0)</f>
        <v>Accessories</v>
      </c>
      <c r="R398" s="25">
        <f>Invoices[[#This Row],[Quantity]]*Invoices[[#This Row],[Unit Cost]]</f>
        <v>278.15999999999997</v>
      </c>
      <c r="S398" s="25">
        <f>Invoices[[#This Row],[Quantity]]*Invoices[[#This Row],[New Unit Price]]</f>
        <v>0</v>
      </c>
      <c r="T398" s="25">
        <f>Invoices[[#This Row],[Revenue]]-Invoices[[#This Row],[Cost]]</f>
        <v>-278.15999999999997</v>
      </c>
      <c r="U398" s="25" t="str">
        <f>TEXT(Invoices[[#This Row],[Date]],"MMM")</f>
        <v>Oct</v>
      </c>
      <c r="V398" s="29">
        <f>CHOOSE(MONTH(Invoices[[#This Row],[Date]]),1,1,1,2,2,2,3,3,3,4,4,4)</f>
        <v>4</v>
      </c>
      <c r="W398" s="30">
        <f>IFERROR(Invoices[[#This Row],[Profit]]/Invoices[[#This Row],[Revenue]],0)</f>
        <v>0</v>
      </c>
    </row>
    <row r="399" spans="1:23" x14ac:dyDescent="0.3">
      <c r="A399" s="19" t="s">
        <v>5</v>
      </c>
      <c r="B399" s="9">
        <v>22934</v>
      </c>
      <c r="C399" s="15">
        <v>41562</v>
      </c>
      <c r="D399" s="9">
        <v>116</v>
      </c>
      <c r="E399" s="10" t="s">
        <v>84</v>
      </c>
      <c r="F399" s="8">
        <v>4</v>
      </c>
      <c r="G399" s="10"/>
      <c r="H399" s="4" t="s">
        <v>119</v>
      </c>
      <c r="I399" s="4" t="s">
        <v>43</v>
      </c>
      <c r="J399" s="4">
        <v>24</v>
      </c>
      <c r="K399" s="23">
        <v>0</v>
      </c>
      <c r="L399">
        <f>IF(Invoices[[#This Row],[Document Type]]="Return",Invoices[[#This Row],[Unit Price]]*-1,Invoices[[#This Row],[Unit Price]])</f>
        <v>0</v>
      </c>
      <c r="M399" t="str">
        <f>IF(Invoices[[#This Row],[New Unit Price]]&lt;0,"Return",
IF(Invoices[[#This Row],[New Unit Price]]=0,"Free",IF(Invoices[[#This Row],[New Unit Price]]&lt;100,"Basic","Premium")))</f>
        <v>Free</v>
      </c>
      <c r="N399">
        <f>VLOOKUP(Invoices[[#This Row],[Part  '#]],Products[],4,0)</f>
        <v>17.22</v>
      </c>
      <c r="O399" t="str">
        <f>VLOOKUP(Invoices[[#This Row],[Customer Account]],Customers[],4,0)</f>
        <v>Automotive</v>
      </c>
      <c r="P399" t="str">
        <f>VLOOKUP(Invoices[[#This Row],[Customer Account]],Customers[],3,0)</f>
        <v>Tennessee</v>
      </c>
      <c r="Q399" t="str">
        <f>VLOOKUP(Invoices[[#This Row],[Part  '#]],Products[],3,0)</f>
        <v>Accessories</v>
      </c>
      <c r="R399" s="25">
        <f>Invoices[[#This Row],[Quantity]]*Invoices[[#This Row],[Unit Cost]]</f>
        <v>413.28</v>
      </c>
      <c r="S399" s="25">
        <f>Invoices[[#This Row],[Quantity]]*Invoices[[#This Row],[New Unit Price]]</f>
        <v>0</v>
      </c>
      <c r="T399" s="25">
        <f>Invoices[[#This Row],[Revenue]]-Invoices[[#This Row],[Cost]]</f>
        <v>-413.28</v>
      </c>
      <c r="U399" s="25" t="str">
        <f>TEXT(Invoices[[#This Row],[Date]],"MMM")</f>
        <v>Oct</v>
      </c>
      <c r="V399" s="29">
        <f>CHOOSE(MONTH(Invoices[[#This Row],[Date]]),1,1,1,2,2,2,3,3,3,4,4,4)</f>
        <v>4</v>
      </c>
      <c r="W399" s="30">
        <f>IFERROR(Invoices[[#This Row],[Profit]]/Invoices[[#This Row],[Revenue]],0)</f>
        <v>0</v>
      </c>
    </row>
    <row r="400" spans="1:23" x14ac:dyDescent="0.3">
      <c r="A400" s="19" t="s">
        <v>5</v>
      </c>
      <c r="B400" s="9">
        <v>22935</v>
      </c>
      <c r="C400" s="15">
        <v>41566</v>
      </c>
      <c r="D400" s="9">
        <v>116</v>
      </c>
      <c r="E400" s="10" t="s">
        <v>84</v>
      </c>
      <c r="F400" s="9">
        <v>1</v>
      </c>
      <c r="G400" s="10"/>
      <c r="H400" s="9" t="s">
        <v>105</v>
      </c>
      <c r="I400" s="4" t="s">
        <v>19</v>
      </c>
      <c r="J400" s="4">
        <v>3</v>
      </c>
      <c r="K400" s="23">
        <v>1800</v>
      </c>
      <c r="L400">
        <f>IF(Invoices[[#This Row],[Document Type]]="Return",Invoices[[#This Row],[Unit Price]]*-1,Invoices[[#This Row],[Unit Price]])</f>
        <v>1800</v>
      </c>
      <c r="M400" t="str">
        <f>IF(Invoices[[#This Row],[New Unit Price]]&lt;0,"Return",
IF(Invoices[[#This Row],[New Unit Price]]=0,"Free",IF(Invoices[[#This Row],[New Unit Price]]&lt;100,"Basic","Premium")))</f>
        <v>Premium</v>
      </c>
      <c r="N400">
        <f>VLOOKUP(Invoices[[#This Row],[Part  '#]],Products[],4,0)</f>
        <v>995.59</v>
      </c>
      <c r="O400" t="str">
        <f>VLOOKUP(Invoices[[#This Row],[Customer Account]],Customers[],4,0)</f>
        <v>Automotive</v>
      </c>
      <c r="P400" t="str">
        <f>VLOOKUP(Invoices[[#This Row],[Customer Account]],Customers[],3,0)</f>
        <v>Tennessee</v>
      </c>
      <c r="Q400" t="str">
        <f>VLOOKUP(Invoices[[#This Row],[Part  '#]],Products[],3,0)</f>
        <v>Product</v>
      </c>
      <c r="R400" s="25">
        <f>Invoices[[#This Row],[Quantity]]*Invoices[[#This Row],[Unit Cost]]</f>
        <v>2986.77</v>
      </c>
      <c r="S400" s="25">
        <f>Invoices[[#This Row],[Quantity]]*Invoices[[#This Row],[New Unit Price]]</f>
        <v>5400</v>
      </c>
      <c r="T400" s="25">
        <f>Invoices[[#This Row],[Revenue]]-Invoices[[#This Row],[Cost]]</f>
        <v>2413.23</v>
      </c>
      <c r="U400" s="25" t="str">
        <f>TEXT(Invoices[[#This Row],[Date]],"MMM")</f>
        <v>Oct</v>
      </c>
      <c r="V400" s="29">
        <f>CHOOSE(MONTH(Invoices[[#This Row],[Date]]),1,1,1,2,2,2,3,3,3,4,4,4)</f>
        <v>4</v>
      </c>
      <c r="W400" s="30">
        <f>IFERROR(Invoices[[#This Row],[Profit]]/Invoices[[#This Row],[Revenue]],0)</f>
        <v>0.44689444444444443</v>
      </c>
    </row>
    <row r="401" spans="1:23" x14ac:dyDescent="0.3">
      <c r="A401" s="19" t="s">
        <v>141</v>
      </c>
      <c r="B401" s="9">
        <v>22936</v>
      </c>
      <c r="C401" s="15">
        <v>41570</v>
      </c>
      <c r="D401" s="9">
        <v>116</v>
      </c>
      <c r="E401" s="10" t="s">
        <v>84</v>
      </c>
      <c r="F401" s="9">
        <v>1</v>
      </c>
      <c r="G401" s="10" t="s">
        <v>143</v>
      </c>
      <c r="H401" s="9" t="s">
        <v>105</v>
      </c>
      <c r="I401" s="4" t="s">
        <v>19</v>
      </c>
      <c r="J401" s="4">
        <v>3</v>
      </c>
      <c r="K401" s="23">
        <v>1800</v>
      </c>
      <c r="L401">
        <f>IF(Invoices[[#This Row],[Document Type]]="Return",Invoices[[#This Row],[Unit Price]]*-1,Invoices[[#This Row],[Unit Price]])</f>
        <v>-1800</v>
      </c>
      <c r="M401" t="str">
        <f>IF(Invoices[[#This Row],[New Unit Price]]&lt;0,"Return",
IF(Invoices[[#This Row],[New Unit Price]]=0,"Free",IF(Invoices[[#This Row],[New Unit Price]]&lt;100,"Basic","Premium")))</f>
        <v>Return</v>
      </c>
      <c r="N401">
        <f>VLOOKUP(Invoices[[#This Row],[Part  '#]],Products[],4,0)</f>
        <v>995.59</v>
      </c>
      <c r="O401" t="str">
        <f>VLOOKUP(Invoices[[#This Row],[Customer Account]],Customers[],4,0)</f>
        <v>Automotive</v>
      </c>
      <c r="P401" t="str">
        <f>VLOOKUP(Invoices[[#This Row],[Customer Account]],Customers[],3,0)</f>
        <v>Tennessee</v>
      </c>
      <c r="Q401" t="str">
        <f>VLOOKUP(Invoices[[#This Row],[Part  '#]],Products[],3,0)</f>
        <v>Product</v>
      </c>
      <c r="R401" s="25">
        <f>Invoices[[#This Row],[Quantity]]*Invoices[[#This Row],[Unit Cost]]</f>
        <v>2986.77</v>
      </c>
      <c r="S401" s="25">
        <f>Invoices[[#This Row],[Quantity]]*Invoices[[#This Row],[New Unit Price]]</f>
        <v>-5400</v>
      </c>
      <c r="T401" s="25">
        <f>Invoices[[#This Row],[Revenue]]-Invoices[[#This Row],[Cost]]</f>
        <v>-8386.77</v>
      </c>
      <c r="U401" s="25" t="str">
        <f>TEXT(Invoices[[#This Row],[Date]],"MMM")</f>
        <v>Oct</v>
      </c>
      <c r="V401" s="29">
        <f>CHOOSE(MONTH(Invoices[[#This Row],[Date]]),1,1,1,2,2,2,3,3,3,4,4,4)</f>
        <v>4</v>
      </c>
      <c r="W401" s="30">
        <f>IFERROR(Invoices[[#This Row],[Profit]]/Invoices[[#This Row],[Revenue]],0)</f>
        <v>1.5531055555555557</v>
      </c>
    </row>
    <row r="402" spans="1:23" x14ac:dyDescent="0.3">
      <c r="A402" s="19" t="s">
        <v>5</v>
      </c>
      <c r="B402" s="9">
        <v>22937</v>
      </c>
      <c r="C402" s="15">
        <v>41579</v>
      </c>
      <c r="D402" s="9">
        <v>101</v>
      </c>
      <c r="E402" s="10" t="s">
        <v>61</v>
      </c>
      <c r="F402" s="8">
        <v>1</v>
      </c>
      <c r="G402" s="10"/>
      <c r="H402" s="4" t="s">
        <v>125</v>
      </c>
      <c r="I402" s="4" t="s">
        <v>40</v>
      </c>
      <c r="J402" s="4">
        <v>250</v>
      </c>
      <c r="K402" s="23">
        <v>24</v>
      </c>
      <c r="L402">
        <f>IF(Invoices[[#This Row],[Document Type]]="Return",Invoices[[#This Row],[Unit Price]]*-1,Invoices[[#This Row],[Unit Price]])</f>
        <v>24</v>
      </c>
      <c r="M402" t="str">
        <f>IF(Invoices[[#This Row],[New Unit Price]]&lt;0,"Return",
IF(Invoices[[#This Row],[New Unit Price]]=0,"Free",IF(Invoices[[#This Row],[New Unit Price]]&lt;100,"Basic","Premium")))</f>
        <v>Basic</v>
      </c>
      <c r="N402">
        <f>VLOOKUP(Invoices[[#This Row],[Part  '#]],Products[],4,0)</f>
        <v>6.9</v>
      </c>
      <c r="O402" t="str">
        <f>VLOOKUP(Invoices[[#This Row],[Customer Account]],Customers[],4,0)</f>
        <v>Automotive</v>
      </c>
      <c r="P402" t="str">
        <f>VLOOKUP(Invoices[[#This Row],[Customer Account]],Customers[],3,0)</f>
        <v>Georgia</v>
      </c>
      <c r="Q402" t="str">
        <f>VLOOKUP(Invoices[[#This Row],[Part  '#]],Products[],3,0)</f>
        <v>Consumables</v>
      </c>
      <c r="R402" s="25">
        <f>Invoices[[#This Row],[Quantity]]*Invoices[[#This Row],[Unit Cost]]</f>
        <v>1725</v>
      </c>
      <c r="S402" s="25">
        <f>Invoices[[#This Row],[Quantity]]*Invoices[[#This Row],[New Unit Price]]</f>
        <v>6000</v>
      </c>
      <c r="T402" s="25">
        <f>Invoices[[#This Row],[Revenue]]-Invoices[[#This Row],[Cost]]</f>
        <v>4275</v>
      </c>
      <c r="U402" s="25" t="str">
        <f>TEXT(Invoices[[#This Row],[Date]],"MMM")</f>
        <v>Nov</v>
      </c>
      <c r="V402" s="29">
        <f>CHOOSE(MONTH(Invoices[[#This Row],[Date]]),1,1,1,2,2,2,3,3,3,4,4,4)</f>
        <v>4</v>
      </c>
      <c r="W402" s="30">
        <f>IFERROR(Invoices[[#This Row],[Profit]]/Invoices[[#This Row],[Revenue]],0)</f>
        <v>0.71250000000000002</v>
      </c>
    </row>
    <row r="403" spans="1:23" x14ac:dyDescent="0.3">
      <c r="A403" s="19" t="s">
        <v>5</v>
      </c>
      <c r="B403" s="9">
        <v>22937</v>
      </c>
      <c r="C403" s="15">
        <v>41579</v>
      </c>
      <c r="D403" s="9">
        <v>101</v>
      </c>
      <c r="E403" s="10" t="s">
        <v>61</v>
      </c>
      <c r="F403" s="8">
        <v>2</v>
      </c>
      <c r="G403" s="10"/>
      <c r="H403" s="4" t="s">
        <v>132</v>
      </c>
      <c r="I403" s="4" t="s">
        <v>49</v>
      </c>
      <c r="J403" s="4">
        <v>25</v>
      </c>
      <c r="K403" s="23">
        <v>70</v>
      </c>
      <c r="L403">
        <f>IF(Invoices[[#This Row],[Document Type]]="Return",Invoices[[#This Row],[Unit Price]]*-1,Invoices[[#This Row],[Unit Price]])</f>
        <v>70</v>
      </c>
      <c r="M403" t="str">
        <f>IF(Invoices[[#This Row],[New Unit Price]]&lt;0,"Return",
IF(Invoices[[#This Row],[New Unit Price]]=0,"Free",IF(Invoices[[#This Row],[New Unit Price]]&lt;100,"Basic","Premium")))</f>
        <v>Basic</v>
      </c>
      <c r="N403">
        <f>VLOOKUP(Invoices[[#This Row],[Part  '#]],Products[],4,0)</f>
        <v>13.92</v>
      </c>
      <c r="O403" t="str">
        <f>VLOOKUP(Invoices[[#This Row],[Customer Account]],Customers[],4,0)</f>
        <v>Automotive</v>
      </c>
      <c r="P403" t="str">
        <f>VLOOKUP(Invoices[[#This Row],[Customer Account]],Customers[],3,0)</f>
        <v>Georgia</v>
      </c>
      <c r="Q403" t="str">
        <f>VLOOKUP(Invoices[[#This Row],[Part  '#]],Products[],3,0)</f>
        <v>Consumables</v>
      </c>
      <c r="R403" s="25">
        <f>Invoices[[#This Row],[Quantity]]*Invoices[[#This Row],[Unit Cost]]</f>
        <v>348</v>
      </c>
      <c r="S403" s="25">
        <f>Invoices[[#This Row],[Quantity]]*Invoices[[#This Row],[New Unit Price]]</f>
        <v>1750</v>
      </c>
      <c r="T403" s="25">
        <f>Invoices[[#This Row],[Revenue]]-Invoices[[#This Row],[Cost]]</f>
        <v>1402</v>
      </c>
      <c r="U403" s="25" t="str">
        <f>TEXT(Invoices[[#This Row],[Date]],"MMM")</f>
        <v>Nov</v>
      </c>
      <c r="V403" s="29">
        <f>CHOOSE(MONTH(Invoices[[#This Row],[Date]]),1,1,1,2,2,2,3,3,3,4,4,4)</f>
        <v>4</v>
      </c>
      <c r="W403" s="30">
        <f>IFERROR(Invoices[[#This Row],[Profit]]/Invoices[[#This Row],[Revenue]],0)</f>
        <v>0.80114285714285716</v>
      </c>
    </row>
    <row r="404" spans="1:23" x14ac:dyDescent="0.3">
      <c r="A404" s="19" t="s">
        <v>5</v>
      </c>
      <c r="B404" s="9">
        <v>22938</v>
      </c>
      <c r="C404" s="15">
        <v>41579</v>
      </c>
      <c r="D404" s="9">
        <v>105</v>
      </c>
      <c r="E404" s="10" t="s">
        <v>67</v>
      </c>
      <c r="F404" s="8">
        <v>1</v>
      </c>
      <c r="G404" s="10"/>
      <c r="H404" s="4" t="s">
        <v>125</v>
      </c>
      <c r="I404" s="4" t="s">
        <v>40</v>
      </c>
      <c r="J404" s="4">
        <v>120</v>
      </c>
      <c r="K404" s="23">
        <v>24</v>
      </c>
      <c r="L404">
        <f>IF(Invoices[[#This Row],[Document Type]]="Return",Invoices[[#This Row],[Unit Price]]*-1,Invoices[[#This Row],[Unit Price]])</f>
        <v>24</v>
      </c>
      <c r="M404" t="str">
        <f>IF(Invoices[[#This Row],[New Unit Price]]&lt;0,"Return",
IF(Invoices[[#This Row],[New Unit Price]]=0,"Free",IF(Invoices[[#This Row],[New Unit Price]]&lt;100,"Basic","Premium")))</f>
        <v>Basic</v>
      </c>
      <c r="N404">
        <f>VLOOKUP(Invoices[[#This Row],[Part  '#]],Products[],4,0)</f>
        <v>6.9</v>
      </c>
      <c r="O404" t="str">
        <f>VLOOKUP(Invoices[[#This Row],[Customer Account]],Customers[],4,0)</f>
        <v>Automotive</v>
      </c>
      <c r="P404" t="str">
        <f>VLOOKUP(Invoices[[#This Row],[Customer Account]],Customers[],3,0)</f>
        <v>South Carolina</v>
      </c>
      <c r="Q404" t="str">
        <f>VLOOKUP(Invoices[[#This Row],[Part  '#]],Products[],3,0)</f>
        <v>Consumables</v>
      </c>
      <c r="R404" s="25">
        <f>Invoices[[#This Row],[Quantity]]*Invoices[[#This Row],[Unit Cost]]</f>
        <v>828</v>
      </c>
      <c r="S404" s="25">
        <f>Invoices[[#This Row],[Quantity]]*Invoices[[#This Row],[New Unit Price]]</f>
        <v>2880</v>
      </c>
      <c r="T404" s="25">
        <f>Invoices[[#This Row],[Revenue]]-Invoices[[#This Row],[Cost]]</f>
        <v>2052</v>
      </c>
      <c r="U404" s="25" t="str">
        <f>TEXT(Invoices[[#This Row],[Date]],"MMM")</f>
        <v>Nov</v>
      </c>
      <c r="V404" s="29">
        <f>CHOOSE(MONTH(Invoices[[#This Row],[Date]]),1,1,1,2,2,2,3,3,3,4,4,4)</f>
        <v>4</v>
      </c>
      <c r="W404" s="30">
        <f>IFERROR(Invoices[[#This Row],[Profit]]/Invoices[[#This Row],[Revenue]],0)</f>
        <v>0.71250000000000002</v>
      </c>
    </row>
    <row r="405" spans="1:23" x14ac:dyDescent="0.3">
      <c r="A405" s="19" t="s">
        <v>5</v>
      </c>
      <c r="B405" s="9">
        <v>22938</v>
      </c>
      <c r="C405" s="15">
        <v>41579</v>
      </c>
      <c r="D405" s="9">
        <v>105</v>
      </c>
      <c r="E405" s="10" t="s">
        <v>67</v>
      </c>
      <c r="F405" s="8">
        <v>2</v>
      </c>
      <c r="G405" s="10"/>
      <c r="H405" s="4" t="s">
        <v>132</v>
      </c>
      <c r="I405" s="4" t="s">
        <v>49</v>
      </c>
      <c r="J405" s="4">
        <v>50</v>
      </c>
      <c r="K405" s="23">
        <v>70</v>
      </c>
      <c r="L405">
        <f>IF(Invoices[[#This Row],[Document Type]]="Return",Invoices[[#This Row],[Unit Price]]*-1,Invoices[[#This Row],[Unit Price]])</f>
        <v>70</v>
      </c>
      <c r="M405" t="str">
        <f>IF(Invoices[[#This Row],[New Unit Price]]&lt;0,"Return",
IF(Invoices[[#This Row],[New Unit Price]]=0,"Free",IF(Invoices[[#This Row],[New Unit Price]]&lt;100,"Basic","Premium")))</f>
        <v>Basic</v>
      </c>
      <c r="N405">
        <f>VLOOKUP(Invoices[[#This Row],[Part  '#]],Products[],4,0)</f>
        <v>13.92</v>
      </c>
      <c r="O405" t="str">
        <f>VLOOKUP(Invoices[[#This Row],[Customer Account]],Customers[],4,0)</f>
        <v>Automotive</v>
      </c>
      <c r="P405" t="str">
        <f>VLOOKUP(Invoices[[#This Row],[Customer Account]],Customers[],3,0)</f>
        <v>South Carolina</v>
      </c>
      <c r="Q405" t="str">
        <f>VLOOKUP(Invoices[[#This Row],[Part  '#]],Products[],3,0)</f>
        <v>Consumables</v>
      </c>
      <c r="R405" s="25">
        <f>Invoices[[#This Row],[Quantity]]*Invoices[[#This Row],[Unit Cost]]</f>
        <v>696</v>
      </c>
      <c r="S405" s="25">
        <f>Invoices[[#This Row],[Quantity]]*Invoices[[#This Row],[New Unit Price]]</f>
        <v>3500</v>
      </c>
      <c r="T405" s="25">
        <f>Invoices[[#This Row],[Revenue]]-Invoices[[#This Row],[Cost]]</f>
        <v>2804</v>
      </c>
      <c r="U405" s="25" t="str">
        <f>TEXT(Invoices[[#This Row],[Date]],"MMM")</f>
        <v>Nov</v>
      </c>
      <c r="V405" s="29">
        <f>CHOOSE(MONTH(Invoices[[#This Row],[Date]]),1,1,1,2,2,2,3,3,3,4,4,4)</f>
        <v>4</v>
      </c>
      <c r="W405" s="30">
        <f>IFERROR(Invoices[[#This Row],[Profit]]/Invoices[[#This Row],[Revenue]],0)</f>
        <v>0.80114285714285716</v>
      </c>
    </row>
    <row r="406" spans="1:23" x14ac:dyDescent="0.3">
      <c r="A406" s="19" t="s">
        <v>5</v>
      </c>
      <c r="B406" s="9">
        <v>22939</v>
      </c>
      <c r="C406" s="15">
        <v>41579</v>
      </c>
      <c r="D406" s="9">
        <v>106</v>
      </c>
      <c r="E406" s="10" t="s">
        <v>69</v>
      </c>
      <c r="F406" s="8">
        <v>1</v>
      </c>
      <c r="G406" s="10"/>
      <c r="H406" s="4" t="s">
        <v>123</v>
      </c>
      <c r="I406" s="4" t="s">
        <v>38</v>
      </c>
      <c r="J406" s="4">
        <v>80</v>
      </c>
      <c r="K406" s="23">
        <v>18</v>
      </c>
      <c r="L406">
        <f>IF(Invoices[[#This Row],[Document Type]]="Return",Invoices[[#This Row],[Unit Price]]*-1,Invoices[[#This Row],[Unit Price]])</f>
        <v>18</v>
      </c>
      <c r="M406" t="str">
        <f>IF(Invoices[[#This Row],[New Unit Price]]&lt;0,"Return",
IF(Invoices[[#This Row],[New Unit Price]]=0,"Free",IF(Invoices[[#This Row],[New Unit Price]]&lt;100,"Basic","Premium")))</f>
        <v>Basic</v>
      </c>
      <c r="N406">
        <f>VLOOKUP(Invoices[[#This Row],[Part  '#]],Products[],4,0)</f>
        <v>4.58</v>
      </c>
      <c r="O406" t="str">
        <f>VLOOKUP(Invoices[[#This Row],[Customer Account]],Customers[],4,0)</f>
        <v>Automotive</v>
      </c>
      <c r="P406" t="str">
        <f>VLOOKUP(Invoices[[#This Row],[Customer Account]],Customers[],3,0)</f>
        <v>Tennessee</v>
      </c>
      <c r="Q406" t="str">
        <f>VLOOKUP(Invoices[[#This Row],[Part  '#]],Products[],3,0)</f>
        <v>Consumables</v>
      </c>
      <c r="R406" s="25">
        <f>Invoices[[#This Row],[Quantity]]*Invoices[[#This Row],[Unit Cost]]</f>
        <v>366.4</v>
      </c>
      <c r="S406" s="25">
        <f>Invoices[[#This Row],[Quantity]]*Invoices[[#This Row],[New Unit Price]]</f>
        <v>1440</v>
      </c>
      <c r="T406" s="25">
        <f>Invoices[[#This Row],[Revenue]]-Invoices[[#This Row],[Cost]]</f>
        <v>1073.5999999999999</v>
      </c>
      <c r="U406" s="25" t="str">
        <f>TEXT(Invoices[[#This Row],[Date]],"MMM")</f>
        <v>Nov</v>
      </c>
      <c r="V406" s="29">
        <f>CHOOSE(MONTH(Invoices[[#This Row],[Date]]),1,1,1,2,2,2,3,3,3,4,4,4)</f>
        <v>4</v>
      </c>
      <c r="W406" s="30">
        <f>IFERROR(Invoices[[#This Row],[Profit]]/Invoices[[#This Row],[Revenue]],0)</f>
        <v>0.74555555555555553</v>
      </c>
    </row>
    <row r="407" spans="1:23" x14ac:dyDescent="0.3">
      <c r="A407" s="19" t="s">
        <v>5</v>
      </c>
      <c r="B407" s="9">
        <v>22939</v>
      </c>
      <c r="C407" s="15">
        <v>41579</v>
      </c>
      <c r="D407" s="9">
        <v>106</v>
      </c>
      <c r="E407" s="10" t="s">
        <v>69</v>
      </c>
      <c r="F407" s="8">
        <v>2</v>
      </c>
      <c r="G407" s="10"/>
      <c r="H407" s="4" t="s">
        <v>132</v>
      </c>
      <c r="I407" s="4" t="s">
        <v>49</v>
      </c>
      <c r="J407" s="4">
        <v>20</v>
      </c>
      <c r="K407" s="23">
        <v>70</v>
      </c>
      <c r="L407">
        <f>IF(Invoices[[#This Row],[Document Type]]="Return",Invoices[[#This Row],[Unit Price]]*-1,Invoices[[#This Row],[Unit Price]])</f>
        <v>70</v>
      </c>
      <c r="M407" t="str">
        <f>IF(Invoices[[#This Row],[New Unit Price]]&lt;0,"Return",
IF(Invoices[[#This Row],[New Unit Price]]=0,"Free",IF(Invoices[[#This Row],[New Unit Price]]&lt;100,"Basic","Premium")))</f>
        <v>Basic</v>
      </c>
      <c r="N407">
        <f>VLOOKUP(Invoices[[#This Row],[Part  '#]],Products[],4,0)</f>
        <v>13.92</v>
      </c>
      <c r="O407" t="str">
        <f>VLOOKUP(Invoices[[#This Row],[Customer Account]],Customers[],4,0)</f>
        <v>Automotive</v>
      </c>
      <c r="P407" t="str">
        <f>VLOOKUP(Invoices[[#This Row],[Customer Account]],Customers[],3,0)</f>
        <v>Tennessee</v>
      </c>
      <c r="Q407" t="str">
        <f>VLOOKUP(Invoices[[#This Row],[Part  '#]],Products[],3,0)</f>
        <v>Consumables</v>
      </c>
      <c r="R407" s="25">
        <f>Invoices[[#This Row],[Quantity]]*Invoices[[#This Row],[Unit Cost]]</f>
        <v>278.39999999999998</v>
      </c>
      <c r="S407" s="25">
        <f>Invoices[[#This Row],[Quantity]]*Invoices[[#This Row],[New Unit Price]]</f>
        <v>1400</v>
      </c>
      <c r="T407" s="25">
        <f>Invoices[[#This Row],[Revenue]]-Invoices[[#This Row],[Cost]]</f>
        <v>1121.5999999999999</v>
      </c>
      <c r="U407" s="25" t="str">
        <f>TEXT(Invoices[[#This Row],[Date]],"MMM")</f>
        <v>Nov</v>
      </c>
      <c r="V407" s="29">
        <f>CHOOSE(MONTH(Invoices[[#This Row],[Date]]),1,1,1,2,2,2,3,3,3,4,4,4)</f>
        <v>4</v>
      </c>
      <c r="W407" s="30">
        <f>IFERROR(Invoices[[#This Row],[Profit]]/Invoices[[#This Row],[Revenue]],0)</f>
        <v>0.80114285714285705</v>
      </c>
    </row>
    <row r="408" spans="1:23" x14ac:dyDescent="0.3">
      <c r="A408" s="19" t="s">
        <v>5</v>
      </c>
      <c r="B408" s="9">
        <v>22940</v>
      </c>
      <c r="C408" s="15">
        <v>41579</v>
      </c>
      <c r="D408" s="9">
        <v>107</v>
      </c>
      <c r="E408" s="10" t="s">
        <v>72</v>
      </c>
      <c r="F408" s="8">
        <v>1</v>
      </c>
      <c r="G408" s="10"/>
      <c r="H408" s="4" t="s">
        <v>125</v>
      </c>
      <c r="I408" s="4" t="s">
        <v>40</v>
      </c>
      <c r="J408" s="4">
        <v>10</v>
      </c>
      <c r="K408" s="23">
        <v>30</v>
      </c>
      <c r="L408">
        <f>IF(Invoices[[#This Row],[Document Type]]="Return",Invoices[[#This Row],[Unit Price]]*-1,Invoices[[#This Row],[Unit Price]])</f>
        <v>30</v>
      </c>
      <c r="M408" t="str">
        <f>IF(Invoices[[#This Row],[New Unit Price]]&lt;0,"Return",
IF(Invoices[[#This Row],[New Unit Price]]=0,"Free",IF(Invoices[[#This Row],[New Unit Price]]&lt;100,"Basic","Premium")))</f>
        <v>Basic</v>
      </c>
      <c r="N408">
        <f>VLOOKUP(Invoices[[#This Row],[Part  '#]],Products[],4,0)</f>
        <v>6.9</v>
      </c>
      <c r="O408" t="str">
        <f>VLOOKUP(Invoices[[#This Row],[Customer Account]],Customers[],4,0)</f>
        <v>Financial</v>
      </c>
      <c r="P408" t="str">
        <f>VLOOKUP(Invoices[[#This Row],[Customer Account]],Customers[],3,0)</f>
        <v>Georgia</v>
      </c>
      <c r="Q408" t="str">
        <f>VLOOKUP(Invoices[[#This Row],[Part  '#]],Products[],3,0)</f>
        <v>Consumables</v>
      </c>
      <c r="R408" s="25">
        <f>Invoices[[#This Row],[Quantity]]*Invoices[[#This Row],[Unit Cost]]</f>
        <v>69</v>
      </c>
      <c r="S408" s="25">
        <f>Invoices[[#This Row],[Quantity]]*Invoices[[#This Row],[New Unit Price]]</f>
        <v>300</v>
      </c>
      <c r="T408" s="25">
        <f>Invoices[[#This Row],[Revenue]]-Invoices[[#This Row],[Cost]]</f>
        <v>231</v>
      </c>
      <c r="U408" s="25" t="str">
        <f>TEXT(Invoices[[#This Row],[Date]],"MMM")</f>
        <v>Nov</v>
      </c>
      <c r="V408" s="29">
        <f>CHOOSE(MONTH(Invoices[[#This Row],[Date]]),1,1,1,2,2,2,3,3,3,4,4,4)</f>
        <v>4</v>
      </c>
      <c r="W408" s="30">
        <f>IFERROR(Invoices[[#This Row],[Profit]]/Invoices[[#This Row],[Revenue]],0)</f>
        <v>0.77</v>
      </c>
    </row>
    <row r="409" spans="1:23" x14ac:dyDescent="0.3">
      <c r="A409" s="19" t="s">
        <v>5</v>
      </c>
      <c r="B409" s="9">
        <v>22940</v>
      </c>
      <c r="C409" s="15">
        <v>41579</v>
      </c>
      <c r="D409" s="9">
        <v>107</v>
      </c>
      <c r="E409" s="10" t="s">
        <v>72</v>
      </c>
      <c r="F409" s="8">
        <v>2</v>
      </c>
      <c r="G409" s="10"/>
      <c r="H409" s="4" t="s">
        <v>132</v>
      </c>
      <c r="I409" s="4" t="s">
        <v>49</v>
      </c>
      <c r="J409" s="4">
        <v>2</v>
      </c>
      <c r="K409" s="23">
        <v>70</v>
      </c>
      <c r="L409">
        <f>IF(Invoices[[#This Row],[Document Type]]="Return",Invoices[[#This Row],[Unit Price]]*-1,Invoices[[#This Row],[Unit Price]])</f>
        <v>70</v>
      </c>
      <c r="M409" t="str">
        <f>IF(Invoices[[#This Row],[New Unit Price]]&lt;0,"Return",
IF(Invoices[[#This Row],[New Unit Price]]=0,"Free",IF(Invoices[[#This Row],[New Unit Price]]&lt;100,"Basic","Premium")))</f>
        <v>Basic</v>
      </c>
      <c r="N409">
        <f>VLOOKUP(Invoices[[#This Row],[Part  '#]],Products[],4,0)</f>
        <v>13.92</v>
      </c>
      <c r="O409" t="str">
        <f>VLOOKUP(Invoices[[#This Row],[Customer Account]],Customers[],4,0)</f>
        <v>Financial</v>
      </c>
      <c r="P409" t="str">
        <f>VLOOKUP(Invoices[[#This Row],[Customer Account]],Customers[],3,0)</f>
        <v>Georgia</v>
      </c>
      <c r="Q409" t="str">
        <f>VLOOKUP(Invoices[[#This Row],[Part  '#]],Products[],3,0)</f>
        <v>Consumables</v>
      </c>
      <c r="R409" s="25">
        <f>Invoices[[#This Row],[Quantity]]*Invoices[[#This Row],[Unit Cost]]</f>
        <v>27.84</v>
      </c>
      <c r="S409" s="25">
        <f>Invoices[[#This Row],[Quantity]]*Invoices[[#This Row],[New Unit Price]]</f>
        <v>140</v>
      </c>
      <c r="T409" s="25">
        <f>Invoices[[#This Row],[Revenue]]-Invoices[[#This Row],[Cost]]</f>
        <v>112.16</v>
      </c>
      <c r="U409" s="25" t="str">
        <f>TEXT(Invoices[[#This Row],[Date]],"MMM")</f>
        <v>Nov</v>
      </c>
      <c r="V409" s="29">
        <f>CHOOSE(MONTH(Invoices[[#This Row],[Date]]),1,1,1,2,2,2,3,3,3,4,4,4)</f>
        <v>4</v>
      </c>
      <c r="W409" s="30">
        <f>IFERROR(Invoices[[#This Row],[Profit]]/Invoices[[#This Row],[Revenue]],0)</f>
        <v>0.80114285714285716</v>
      </c>
    </row>
    <row r="410" spans="1:23" x14ac:dyDescent="0.3">
      <c r="A410" s="19" t="s">
        <v>5</v>
      </c>
      <c r="B410" s="9">
        <v>22941</v>
      </c>
      <c r="C410" s="15">
        <v>41579</v>
      </c>
      <c r="D410" s="9">
        <v>108</v>
      </c>
      <c r="E410" s="10" t="s">
        <v>73</v>
      </c>
      <c r="F410" s="8">
        <v>1</v>
      </c>
      <c r="G410" s="10"/>
      <c r="H410" s="4" t="s">
        <v>135</v>
      </c>
      <c r="I410" s="4" t="s">
        <v>52</v>
      </c>
      <c r="J410" s="4">
        <v>20</v>
      </c>
      <c r="K410" s="23">
        <v>100</v>
      </c>
      <c r="L410">
        <f>IF(Invoices[[#This Row],[Document Type]]="Return",Invoices[[#This Row],[Unit Price]]*-1,Invoices[[#This Row],[Unit Price]])</f>
        <v>100</v>
      </c>
      <c r="M410" t="str">
        <f>IF(Invoices[[#This Row],[New Unit Price]]&lt;0,"Return",
IF(Invoices[[#This Row],[New Unit Price]]=0,"Free",IF(Invoices[[#This Row],[New Unit Price]]&lt;100,"Basic","Premium")))</f>
        <v>Premium</v>
      </c>
      <c r="N410">
        <f>VLOOKUP(Invoices[[#This Row],[Part  '#]],Products[],4,0)</f>
        <v>27.17</v>
      </c>
      <c r="O410" t="str">
        <f>VLOOKUP(Invoices[[#This Row],[Customer Account]],Customers[],4,0)</f>
        <v>Financial</v>
      </c>
      <c r="P410" t="str">
        <f>VLOOKUP(Invoices[[#This Row],[Customer Account]],Customers[],3,0)</f>
        <v>Florida</v>
      </c>
      <c r="Q410" t="str">
        <f>VLOOKUP(Invoices[[#This Row],[Part  '#]],Products[],3,0)</f>
        <v>Consumables</v>
      </c>
      <c r="R410" s="25">
        <f>Invoices[[#This Row],[Quantity]]*Invoices[[#This Row],[Unit Cost]]</f>
        <v>543.40000000000009</v>
      </c>
      <c r="S410" s="25">
        <f>Invoices[[#This Row],[Quantity]]*Invoices[[#This Row],[New Unit Price]]</f>
        <v>2000</v>
      </c>
      <c r="T410" s="25">
        <f>Invoices[[#This Row],[Revenue]]-Invoices[[#This Row],[Cost]]</f>
        <v>1456.6</v>
      </c>
      <c r="U410" s="25" t="str">
        <f>TEXT(Invoices[[#This Row],[Date]],"MMM")</f>
        <v>Nov</v>
      </c>
      <c r="V410" s="29">
        <f>CHOOSE(MONTH(Invoices[[#This Row],[Date]]),1,1,1,2,2,2,3,3,3,4,4,4)</f>
        <v>4</v>
      </c>
      <c r="W410" s="30">
        <f>IFERROR(Invoices[[#This Row],[Profit]]/Invoices[[#This Row],[Revenue]],0)</f>
        <v>0.72829999999999995</v>
      </c>
    </row>
    <row r="411" spans="1:23" x14ac:dyDescent="0.3">
      <c r="A411" s="19" t="s">
        <v>5</v>
      </c>
      <c r="B411" s="9">
        <v>22941</v>
      </c>
      <c r="C411" s="15">
        <v>41579</v>
      </c>
      <c r="D411" s="9">
        <v>108</v>
      </c>
      <c r="E411" s="10" t="s">
        <v>73</v>
      </c>
      <c r="F411" s="8">
        <v>2</v>
      </c>
      <c r="G411" s="10"/>
      <c r="H411" s="4" t="s">
        <v>136</v>
      </c>
      <c r="I411" s="4" t="s">
        <v>53</v>
      </c>
      <c r="J411" s="4">
        <v>20</v>
      </c>
      <c r="K411" s="23">
        <v>140</v>
      </c>
      <c r="L411">
        <f>IF(Invoices[[#This Row],[Document Type]]="Return",Invoices[[#This Row],[Unit Price]]*-1,Invoices[[#This Row],[Unit Price]])</f>
        <v>140</v>
      </c>
      <c r="M411" t="str">
        <f>IF(Invoices[[#This Row],[New Unit Price]]&lt;0,"Return",
IF(Invoices[[#This Row],[New Unit Price]]=0,"Free",IF(Invoices[[#This Row],[New Unit Price]]&lt;100,"Basic","Premium")))</f>
        <v>Premium</v>
      </c>
      <c r="N411">
        <f>VLOOKUP(Invoices[[#This Row],[Part  '#]],Products[],4,0)</f>
        <v>34.299999999999997</v>
      </c>
      <c r="O411" t="str">
        <f>VLOOKUP(Invoices[[#This Row],[Customer Account]],Customers[],4,0)</f>
        <v>Financial</v>
      </c>
      <c r="P411" t="str">
        <f>VLOOKUP(Invoices[[#This Row],[Customer Account]],Customers[],3,0)</f>
        <v>Florida</v>
      </c>
      <c r="Q411" t="str">
        <f>VLOOKUP(Invoices[[#This Row],[Part  '#]],Products[],3,0)</f>
        <v>Consumables</v>
      </c>
      <c r="R411" s="25">
        <f>Invoices[[#This Row],[Quantity]]*Invoices[[#This Row],[Unit Cost]]</f>
        <v>686</v>
      </c>
      <c r="S411" s="25">
        <f>Invoices[[#This Row],[Quantity]]*Invoices[[#This Row],[New Unit Price]]</f>
        <v>2800</v>
      </c>
      <c r="T411" s="25">
        <f>Invoices[[#This Row],[Revenue]]-Invoices[[#This Row],[Cost]]</f>
        <v>2114</v>
      </c>
      <c r="U411" s="25" t="str">
        <f>TEXT(Invoices[[#This Row],[Date]],"MMM")</f>
        <v>Nov</v>
      </c>
      <c r="V411" s="29">
        <f>CHOOSE(MONTH(Invoices[[#This Row],[Date]]),1,1,1,2,2,2,3,3,3,4,4,4)</f>
        <v>4</v>
      </c>
      <c r="W411" s="30">
        <f>IFERROR(Invoices[[#This Row],[Profit]]/Invoices[[#This Row],[Revenue]],0)</f>
        <v>0.755</v>
      </c>
    </row>
    <row r="412" spans="1:23" x14ac:dyDescent="0.3">
      <c r="A412" s="19" t="s">
        <v>5</v>
      </c>
      <c r="B412" s="9">
        <v>22941</v>
      </c>
      <c r="C412" s="15">
        <v>41579</v>
      </c>
      <c r="D412" s="9">
        <v>108</v>
      </c>
      <c r="E412" s="10" t="s">
        <v>73</v>
      </c>
      <c r="F412" s="8">
        <v>3</v>
      </c>
      <c r="G412" s="10"/>
      <c r="H412" s="4" t="s">
        <v>130</v>
      </c>
      <c r="I412" s="4" t="s">
        <v>47</v>
      </c>
      <c r="J412" s="4">
        <v>100</v>
      </c>
      <c r="K412" s="23">
        <v>19.200000000000003</v>
      </c>
      <c r="L412">
        <f>IF(Invoices[[#This Row],[Document Type]]="Return",Invoices[[#This Row],[Unit Price]]*-1,Invoices[[#This Row],[Unit Price]])</f>
        <v>19.200000000000003</v>
      </c>
      <c r="M412" t="str">
        <f>IF(Invoices[[#This Row],[New Unit Price]]&lt;0,"Return",
IF(Invoices[[#This Row],[New Unit Price]]=0,"Free",IF(Invoices[[#This Row],[New Unit Price]]&lt;100,"Basic","Premium")))</f>
        <v>Basic</v>
      </c>
      <c r="N412">
        <f>VLOOKUP(Invoices[[#This Row],[Part  '#]],Products[],4,0)</f>
        <v>7.09</v>
      </c>
      <c r="O412" t="str">
        <f>VLOOKUP(Invoices[[#This Row],[Customer Account]],Customers[],4,0)</f>
        <v>Financial</v>
      </c>
      <c r="P412" t="str">
        <f>VLOOKUP(Invoices[[#This Row],[Customer Account]],Customers[],3,0)</f>
        <v>Florida</v>
      </c>
      <c r="Q412" t="str">
        <f>VLOOKUP(Invoices[[#This Row],[Part  '#]],Products[],3,0)</f>
        <v>Consumables</v>
      </c>
      <c r="R412" s="25">
        <f>Invoices[[#This Row],[Quantity]]*Invoices[[#This Row],[Unit Cost]]</f>
        <v>709</v>
      </c>
      <c r="S412" s="25">
        <f>Invoices[[#This Row],[Quantity]]*Invoices[[#This Row],[New Unit Price]]</f>
        <v>1920.0000000000002</v>
      </c>
      <c r="T412" s="25">
        <f>Invoices[[#This Row],[Revenue]]-Invoices[[#This Row],[Cost]]</f>
        <v>1211.0000000000002</v>
      </c>
      <c r="U412" s="25" t="str">
        <f>TEXT(Invoices[[#This Row],[Date]],"MMM")</f>
        <v>Nov</v>
      </c>
      <c r="V412" s="29">
        <f>CHOOSE(MONTH(Invoices[[#This Row],[Date]]),1,1,1,2,2,2,3,3,3,4,4,4)</f>
        <v>4</v>
      </c>
      <c r="W412" s="30">
        <f>IFERROR(Invoices[[#This Row],[Profit]]/Invoices[[#This Row],[Revenue]],0)</f>
        <v>0.63072916666666667</v>
      </c>
    </row>
    <row r="413" spans="1:23" x14ac:dyDescent="0.3">
      <c r="A413" s="19" t="s">
        <v>5</v>
      </c>
      <c r="B413" s="9">
        <v>22942</v>
      </c>
      <c r="C413" s="15">
        <v>41579</v>
      </c>
      <c r="D413" s="9">
        <v>112</v>
      </c>
      <c r="E413" s="10" t="s">
        <v>80</v>
      </c>
      <c r="F413" s="8">
        <v>1</v>
      </c>
      <c r="G413" s="10"/>
      <c r="H413" s="4" t="s">
        <v>132</v>
      </c>
      <c r="I413" s="4" t="s">
        <v>49</v>
      </c>
      <c r="J413" s="4">
        <v>5</v>
      </c>
      <c r="K413" s="23">
        <v>70</v>
      </c>
      <c r="L413">
        <f>IF(Invoices[[#This Row],[Document Type]]="Return",Invoices[[#This Row],[Unit Price]]*-1,Invoices[[#This Row],[Unit Price]])</f>
        <v>70</v>
      </c>
      <c r="M413" t="str">
        <f>IF(Invoices[[#This Row],[New Unit Price]]&lt;0,"Return",
IF(Invoices[[#This Row],[New Unit Price]]=0,"Free",IF(Invoices[[#This Row],[New Unit Price]]&lt;100,"Basic","Premium")))</f>
        <v>Basic</v>
      </c>
      <c r="N413">
        <f>VLOOKUP(Invoices[[#This Row],[Part  '#]],Products[],4,0)</f>
        <v>13.92</v>
      </c>
      <c r="O413" t="str">
        <f>VLOOKUP(Invoices[[#This Row],[Customer Account]],Customers[],4,0)</f>
        <v>Financial</v>
      </c>
      <c r="P413" t="str">
        <f>VLOOKUP(Invoices[[#This Row],[Customer Account]],Customers[],3,0)</f>
        <v>Georgia</v>
      </c>
      <c r="Q413" t="str">
        <f>VLOOKUP(Invoices[[#This Row],[Part  '#]],Products[],3,0)</f>
        <v>Consumables</v>
      </c>
      <c r="R413" s="25">
        <f>Invoices[[#This Row],[Quantity]]*Invoices[[#This Row],[Unit Cost]]</f>
        <v>69.599999999999994</v>
      </c>
      <c r="S413" s="25">
        <f>Invoices[[#This Row],[Quantity]]*Invoices[[#This Row],[New Unit Price]]</f>
        <v>350</v>
      </c>
      <c r="T413" s="25">
        <f>Invoices[[#This Row],[Revenue]]-Invoices[[#This Row],[Cost]]</f>
        <v>280.39999999999998</v>
      </c>
      <c r="U413" s="25" t="str">
        <f>TEXT(Invoices[[#This Row],[Date]],"MMM")</f>
        <v>Nov</v>
      </c>
      <c r="V413" s="29">
        <f>CHOOSE(MONTH(Invoices[[#This Row],[Date]]),1,1,1,2,2,2,3,3,3,4,4,4)</f>
        <v>4</v>
      </c>
      <c r="W413" s="30">
        <f>IFERROR(Invoices[[#This Row],[Profit]]/Invoices[[#This Row],[Revenue]],0)</f>
        <v>0.80114285714285705</v>
      </c>
    </row>
    <row r="414" spans="1:23" x14ac:dyDescent="0.3">
      <c r="A414" s="19" t="s">
        <v>5</v>
      </c>
      <c r="B414" s="9">
        <v>22942</v>
      </c>
      <c r="C414" s="15">
        <v>41579</v>
      </c>
      <c r="D414" s="9">
        <v>112</v>
      </c>
      <c r="E414" s="10" t="s">
        <v>80</v>
      </c>
      <c r="F414" s="8">
        <v>2</v>
      </c>
      <c r="G414" s="10"/>
      <c r="H414" s="4" t="s">
        <v>125</v>
      </c>
      <c r="I414" s="4" t="s">
        <v>40</v>
      </c>
      <c r="J414" s="4">
        <v>5</v>
      </c>
      <c r="K414" s="23">
        <v>30</v>
      </c>
      <c r="L414">
        <f>IF(Invoices[[#This Row],[Document Type]]="Return",Invoices[[#This Row],[Unit Price]]*-1,Invoices[[#This Row],[Unit Price]])</f>
        <v>30</v>
      </c>
      <c r="M414" t="str">
        <f>IF(Invoices[[#This Row],[New Unit Price]]&lt;0,"Return",
IF(Invoices[[#This Row],[New Unit Price]]=0,"Free",IF(Invoices[[#This Row],[New Unit Price]]&lt;100,"Basic","Premium")))</f>
        <v>Basic</v>
      </c>
      <c r="N414">
        <f>VLOOKUP(Invoices[[#This Row],[Part  '#]],Products[],4,0)</f>
        <v>6.9</v>
      </c>
      <c r="O414" t="str">
        <f>VLOOKUP(Invoices[[#This Row],[Customer Account]],Customers[],4,0)</f>
        <v>Financial</v>
      </c>
      <c r="P414" t="str">
        <f>VLOOKUP(Invoices[[#This Row],[Customer Account]],Customers[],3,0)</f>
        <v>Georgia</v>
      </c>
      <c r="Q414" t="str">
        <f>VLOOKUP(Invoices[[#This Row],[Part  '#]],Products[],3,0)</f>
        <v>Consumables</v>
      </c>
      <c r="R414" s="25">
        <f>Invoices[[#This Row],[Quantity]]*Invoices[[#This Row],[Unit Cost]]</f>
        <v>34.5</v>
      </c>
      <c r="S414" s="25">
        <f>Invoices[[#This Row],[Quantity]]*Invoices[[#This Row],[New Unit Price]]</f>
        <v>150</v>
      </c>
      <c r="T414" s="25">
        <f>Invoices[[#This Row],[Revenue]]-Invoices[[#This Row],[Cost]]</f>
        <v>115.5</v>
      </c>
      <c r="U414" s="25" t="str">
        <f>TEXT(Invoices[[#This Row],[Date]],"MMM")</f>
        <v>Nov</v>
      </c>
      <c r="V414" s="29">
        <f>CHOOSE(MONTH(Invoices[[#This Row],[Date]]),1,1,1,2,2,2,3,3,3,4,4,4)</f>
        <v>4</v>
      </c>
      <c r="W414" s="30">
        <f>IFERROR(Invoices[[#This Row],[Profit]]/Invoices[[#This Row],[Revenue]],0)</f>
        <v>0.77</v>
      </c>
    </row>
    <row r="415" spans="1:23" x14ac:dyDescent="0.3">
      <c r="A415" s="19" t="s">
        <v>5</v>
      </c>
      <c r="B415" s="9">
        <v>22943</v>
      </c>
      <c r="C415" s="15">
        <v>41579</v>
      </c>
      <c r="D415" s="9">
        <v>113</v>
      </c>
      <c r="E415" s="10" t="s">
        <v>81</v>
      </c>
      <c r="F415" s="8">
        <v>1</v>
      </c>
      <c r="G415" s="10"/>
      <c r="H415" s="4" t="s">
        <v>125</v>
      </c>
      <c r="I415" s="4" t="s">
        <v>40</v>
      </c>
      <c r="J415" s="4">
        <v>250</v>
      </c>
      <c r="K415" s="23">
        <v>24</v>
      </c>
      <c r="L415">
        <f>IF(Invoices[[#This Row],[Document Type]]="Return",Invoices[[#This Row],[Unit Price]]*-1,Invoices[[#This Row],[Unit Price]])</f>
        <v>24</v>
      </c>
      <c r="M415" t="str">
        <f>IF(Invoices[[#This Row],[New Unit Price]]&lt;0,"Return",
IF(Invoices[[#This Row],[New Unit Price]]=0,"Free",IF(Invoices[[#This Row],[New Unit Price]]&lt;100,"Basic","Premium")))</f>
        <v>Basic</v>
      </c>
      <c r="N415">
        <f>VLOOKUP(Invoices[[#This Row],[Part  '#]],Products[],4,0)</f>
        <v>6.9</v>
      </c>
      <c r="O415" t="str">
        <f>VLOOKUP(Invoices[[#This Row],[Customer Account]],Customers[],4,0)</f>
        <v>Financial</v>
      </c>
      <c r="P415" t="str">
        <f>VLOOKUP(Invoices[[#This Row],[Customer Account]],Customers[],3,0)</f>
        <v>Georgia</v>
      </c>
      <c r="Q415" t="str">
        <f>VLOOKUP(Invoices[[#This Row],[Part  '#]],Products[],3,0)</f>
        <v>Consumables</v>
      </c>
      <c r="R415" s="25">
        <f>Invoices[[#This Row],[Quantity]]*Invoices[[#This Row],[Unit Cost]]</f>
        <v>1725</v>
      </c>
      <c r="S415" s="25">
        <f>Invoices[[#This Row],[Quantity]]*Invoices[[#This Row],[New Unit Price]]</f>
        <v>6000</v>
      </c>
      <c r="T415" s="25">
        <f>Invoices[[#This Row],[Revenue]]-Invoices[[#This Row],[Cost]]</f>
        <v>4275</v>
      </c>
      <c r="U415" s="25" t="str">
        <f>TEXT(Invoices[[#This Row],[Date]],"MMM")</f>
        <v>Nov</v>
      </c>
      <c r="V415" s="29">
        <f>CHOOSE(MONTH(Invoices[[#This Row],[Date]]),1,1,1,2,2,2,3,3,3,4,4,4)</f>
        <v>4</v>
      </c>
      <c r="W415" s="30">
        <f>IFERROR(Invoices[[#This Row],[Profit]]/Invoices[[#This Row],[Revenue]],0)</f>
        <v>0.71250000000000002</v>
      </c>
    </row>
    <row r="416" spans="1:23" x14ac:dyDescent="0.3">
      <c r="A416" s="19" t="s">
        <v>5</v>
      </c>
      <c r="B416" s="9">
        <v>22943</v>
      </c>
      <c r="C416" s="15">
        <v>41579</v>
      </c>
      <c r="D416" s="9">
        <v>113</v>
      </c>
      <c r="E416" s="10" t="s">
        <v>81</v>
      </c>
      <c r="F416" s="8">
        <v>2</v>
      </c>
      <c r="G416" s="10"/>
      <c r="H416" s="4" t="s">
        <v>132</v>
      </c>
      <c r="I416" s="4" t="s">
        <v>49</v>
      </c>
      <c r="J416" s="4">
        <v>50</v>
      </c>
      <c r="K416" s="23">
        <v>70</v>
      </c>
      <c r="L416">
        <f>IF(Invoices[[#This Row],[Document Type]]="Return",Invoices[[#This Row],[Unit Price]]*-1,Invoices[[#This Row],[Unit Price]])</f>
        <v>70</v>
      </c>
      <c r="M416" t="str">
        <f>IF(Invoices[[#This Row],[New Unit Price]]&lt;0,"Return",
IF(Invoices[[#This Row],[New Unit Price]]=0,"Free",IF(Invoices[[#This Row],[New Unit Price]]&lt;100,"Basic","Premium")))</f>
        <v>Basic</v>
      </c>
      <c r="N416">
        <f>VLOOKUP(Invoices[[#This Row],[Part  '#]],Products[],4,0)</f>
        <v>13.92</v>
      </c>
      <c r="O416" t="str">
        <f>VLOOKUP(Invoices[[#This Row],[Customer Account]],Customers[],4,0)</f>
        <v>Financial</v>
      </c>
      <c r="P416" t="str">
        <f>VLOOKUP(Invoices[[#This Row],[Customer Account]],Customers[],3,0)</f>
        <v>Georgia</v>
      </c>
      <c r="Q416" t="str">
        <f>VLOOKUP(Invoices[[#This Row],[Part  '#]],Products[],3,0)</f>
        <v>Consumables</v>
      </c>
      <c r="R416" s="25">
        <f>Invoices[[#This Row],[Quantity]]*Invoices[[#This Row],[Unit Cost]]</f>
        <v>696</v>
      </c>
      <c r="S416" s="25">
        <f>Invoices[[#This Row],[Quantity]]*Invoices[[#This Row],[New Unit Price]]</f>
        <v>3500</v>
      </c>
      <c r="T416" s="25">
        <f>Invoices[[#This Row],[Revenue]]-Invoices[[#This Row],[Cost]]</f>
        <v>2804</v>
      </c>
      <c r="U416" s="25" t="str">
        <f>TEXT(Invoices[[#This Row],[Date]],"MMM")</f>
        <v>Nov</v>
      </c>
      <c r="V416" s="29">
        <f>CHOOSE(MONTH(Invoices[[#This Row],[Date]]),1,1,1,2,2,2,3,3,3,4,4,4)</f>
        <v>4</v>
      </c>
      <c r="W416" s="30">
        <f>IFERROR(Invoices[[#This Row],[Profit]]/Invoices[[#This Row],[Revenue]],0)</f>
        <v>0.80114285714285716</v>
      </c>
    </row>
    <row r="417" spans="1:23" x14ac:dyDescent="0.3">
      <c r="A417" s="19" t="s">
        <v>5</v>
      </c>
      <c r="B417" s="9">
        <v>22944</v>
      </c>
      <c r="C417" s="15">
        <v>41579</v>
      </c>
      <c r="D417" s="9">
        <v>114</v>
      </c>
      <c r="E417" s="10" t="s">
        <v>82</v>
      </c>
      <c r="F417" s="8">
        <v>1</v>
      </c>
      <c r="G417" s="10"/>
      <c r="H417" s="4" t="s">
        <v>135</v>
      </c>
      <c r="I417" s="4" t="s">
        <v>52</v>
      </c>
      <c r="J417" s="4">
        <v>12</v>
      </c>
      <c r="K417" s="23">
        <v>100</v>
      </c>
      <c r="L417">
        <f>IF(Invoices[[#This Row],[Document Type]]="Return",Invoices[[#This Row],[Unit Price]]*-1,Invoices[[#This Row],[Unit Price]])</f>
        <v>100</v>
      </c>
      <c r="M417" t="str">
        <f>IF(Invoices[[#This Row],[New Unit Price]]&lt;0,"Return",
IF(Invoices[[#This Row],[New Unit Price]]=0,"Free",IF(Invoices[[#This Row],[New Unit Price]]&lt;100,"Basic","Premium")))</f>
        <v>Premium</v>
      </c>
      <c r="N417">
        <f>VLOOKUP(Invoices[[#This Row],[Part  '#]],Products[],4,0)</f>
        <v>27.17</v>
      </c>
      <c r="O417" t="str">
        <f>VLOOKUP(Invoices[[#This Row],[Customer Account]],Customers[],4,0)</f>
        <v>Automotive</v>
      </c>
      <c r="P417" t="str">
        <f>VLOOKUP(Invoices[[#This Row],[Customer Account]],Customers[],3,0)</f>
        <v>North Carolina</v>
      </c>
      <c r="Q417" t="str">
        <f>VLOOKUP(Invoices[[#This Row],[Part  '#]],Products[],3,0)</f>
        <v>Consumables</v>
      </c>
      <c r="R417" s="25">
        <f>Invoices[[#This Row],[Quantity]]*Invoices[[#This Row],[Unit Cost]]</f>
        <v>326.04000000000002</v>
      </c>
      <c r="S417" s="25">
        <f>Invoices[[#This Row],[Quantity]]*Invoices[[#This Row],[New Unit Price]]</f>
        <v>1200</v>
      </c>
      <c r="T417" s="25">
        <f>Invoices[[#This Row],[Revenue]]-Invoices[[#This Row],[Cost]]</f>
        <v>873.96</v>
      </c>
      <c r="U417" s="25" t="str">
        <f>TEXT(Invoices[[#This Row],[Date]],"MMM")</f>
        <v>Nov</v>
      </c>
      <c r="V417" s="29">
        <f>CHOOSE(MONTH(Invoices[[#This Row],[Date]]),1,1,1,2,2,2,3,3,3,4,4,4)</f>
        <v>4</v>
      </c>
      <c r="W417" s="30">
        <f>IFERROR(Invoices[[#This Row],[Profit]]/Invoices[[#This Row],[Revenue]],0)</f>
        <v>0.72830000000000006</v>
      </c>
    </row>
    <row r="418" spans="1:23" x14ac:dyDescent="0.3">
      <c r="A418" s="19" t="s">
        <v>5</v>
      </c>
      <c r="B418" s="9">
        <v>22944</v>
      </c>
      <c r="C418" s="15">
        <v>41579</v>
      </c>
      <c r="D418" s="9">
        <v>114</v>
      </c>
      <c r="E418" s="10" t="s">
        <v>82</v>
      </c>
      <c r="F418" s="8">
        <v>2</v>
      </c>
      <c r="G418" s="10"/>
      <c r="H418" s="4" t="s">
        <v>136</v>
      </c>
      <c r="I418" s="4" t="s">
        <v>53</v>
      </c>
      <c r="J418" s="4">
        <v>7</v>
      </c>
      <c r="K418" s="23">
        <v>140</v>
      </c>
      <c r="L418">
        <f>IF(Invoices[[#This Row],[Document Type]]="Return",Invoices[[#This Row],[Unit Price]]*-1,Invoices[[#This Row],[Unit Price]])</f>
        <v>140</v>
      </c>
      <c r="M418" t="str">
        <f>IF(Invoices[[#This Row],[New Unit Price]]&lt;0,"Return",
IF(Invoices[[#This Row],[New Unit Price]]=0,"Free",IF(Invoices[[#This Row],[New Unit Price]]&lt;100,"Basic","Premium")))</f>
        <v>Premium</v>
      </c>
      <c r="N418">
        <f>VLOOKUP(Invoices[[#This Row],[Part  '#]],Products[],4,0)</f>
        <v>34.299999999999997</v>
      </c>
      <c r="O418" t="str">
        <f>VLOOKUP(Invoices[[#This Row],[Customer Account]],Customers[],4,0)</f>
        <v>Automotive</v>
      </c>
      <c r="P418" t="str">
        <f>VLOOKUP(Invoices[[#This Row],[Customer Account]],Customers[],3,0)</f>
        <v>North Carolina</v>
      </c>
      <c r="Q418" t="str">
        <f>VLOOKUP(Invoices[[#This Row],[Part  '#]],Products[],3,0)</f>
        <v>Consumables</v>
      </c>
      <c r="R418" s="25">
        <f>Invoices[[#This Row],[Quantity]]*Invoices[[#This Row],[Unit Cost]]</f>
        <v>240.09999999999997</v>
      </c>
      <c r="S418" s="25">
        <f>Invoices[[#This Row],[Quantity]]*Invoices[[#This Row],[New Unit Price]]</f>
        <v>980</v>
      </c>
      <c r="T418" s="25">
        <f>Invoices[[#This Row],[Revenue]]-Invoices[[#This Row],[Cost]]</f>
        <v>739.90000000000009</v>
      </c>
      <c r="U418" s="25" t="str">
        <f>TEXT(Invoices[[#This Row],[Date]],"MMM")</f>
        <v>Nov</v>
      </c>
      <c r="V418" s="29">
        <f>CHOOSE(MONTH(Invoices[[#This Row],[Date]]),1,1,1,2,2,2,3,3,3,4,4,4)</f>
        <v>4</v>
      </c>
      <c r="W418" s="30">
        <f>IFERROR(Invoices[[#This Row],[Profit]]/Invoices[[#This Row],[Revenue]],0)</f>
        <v>0.75500000000000012</v>
      </c>
    </row>
    <row r="419" spans="1:23" x14ac:dyDescent="0.3">
      <c r="A419" s="19" t="s">
        <v>5</v>
      </c>
      <c r="B419" s="9">
        <v>22944</v>
      </c>
      <c r="C419" s="15">
        <v>41579</v>
      </c>
      <c r="D419" s="9">
        <v>114</v>
      </c>
      <c r="E419" s="10" t="s">
        <v>82</v>
      </c>
      <c r="F419" s="8">
        <v>3</v>
      </c>
      <c r="G419" s="10"/>
      <c r="H419" s="4" t="s">
        <v>128</v>
      </c>
      <c r="I419" s="4" t="s">
        <v>45</v>
      </c>
      <c r="J419" s="4">
        <v>20</v>
      </c>
      <c r="K419" s="23">
        <v>25</v>
      </c>
      <c r="L419">
        <f>IF(Invoices[[#This Row],[Document Type]]="Return",Invoices[[#This Row],[Unit Price]]*-1,Invoices[[#This Row],[Unit Price]])</f>
        <v>25</v>
      </c>
      <c r="M419" t="str">
        <f>IF(Invoices[[#This Row],[New Unit Price]]&lt;0,"Return",
IF(Invoices[[#This Row],[New Unit Price]]=0,"Free",IF(Invoices[[#This Row],[New Unit Price]]&lt;100,"Basic","Premium")))</f>
        <v>Basic</v>
      </c>
      <c r="N419">
        <f>VLOOKUP(Invoices[[#This Row],[Part  '#]],Products[],4,0)</f>
        <v>5.16</v>
      </c>
      <c r="O419" t="str">
        <f>VLOOKUP(Invoices[[#This Row],[Customer Account]],Customers[],4,0)</f>
        <v>Automotive</v>
      </c>
      <c r="P419" t="str">
        <f>VLOOKUP(Invoices[[#This Row],[Customer Account]],Customers[],3,0)</f>
        <v>North Carolina</v>
      </c>
      <c r="Q419" t="str">
        <f>VLOOKUP(Invoices[[#This Row],[Part  '#]],Products[],3,0)</f>
        <v>Consumables</v>
      </c>
      <c r="R419" s="25">
        <f>Invoices[[#This Row],[Quantity]]*Invoices[[#This Row],[Unit Cost]]</f>
        <v>103.2</v>
      </c>
      <c r="S419" s="25">
        <f>Invoices[[#This Row],[Quantity]]*Invoices[[#This Row],[New Unit Price]]</f>
        <v>500</v>
      </c>
      <c r="T419" s="25">
        <f>Invoices[[#This Row],[Revenue]]-Invoices[[#This Row],[Cost]]</f>
        <v>396.8</v>
      </c>
      <c r="U419" s="25" t="str">
        <f>TEXT(Invoices[[#This Row],[Date]],"MMM")</f>
        <v>Nov</v>
      </c>
      <c r="V419" s="29">
        <f>CHOOSE(MONTH(Invoices[[#This Row],[Date]]),1,1,1,2,2,2,3,3,3,4,4,4)</f>
        <v>4</v>
      </c>
      <c r="W419" s="30">
        <f>IFERROR(Invoices[[#This Row],[Profit]]/Invoices[[#This Row],[Revenue]],0)</f>
        <v>0.79359999999999997</v>
      </c>
    </row>
    <row r="420" spans="1:23" x14ac:dyDescent="0.3">
      <c r="A420" s="19" t="s">
        <v>5</v>
      </c>
      <c r="B420" s="9">
        <v>22944</v>
      </c>
      <c r="C420" s="15">
        <v>41579</v>
      </c>
      <c r="D420" s="9">
        <v>114</v>
      </c>
      <c r="E420" s="10" t="s">
        <v>82</v>
      </c>
      <c r="F420" s="8">
        <v>4</v>
      </c>
      <c r="G420" s="10"/>
      <c r="H420" s="4" t="s">
        <v>130</v>
      </c>
      <c r="I420" s="4" t="s">
        <v>47</v>
      </c>
      <c r="J420" s="4">
        <v>17</v>
      </c>
      <c r="K420" s="23">
        <v>24</v>
      </c>
      <c r="L420">
        <f>IF(Invoices[[#This Row],[Document Type]]="Return",Invoices[[#This Row],[Unit Price]]*-1,Invoices[[#This Row],[Unit Price]])</f>
        <v>24</v>
      </c>
      <c r="M420" t="str">
        <f>IF(Invoices[[#This Row],[New Unit Price]]&lt;0,"Return",
IF(Invoices[[#This Row],[New Unit Price]]=0,"Free",IF(Invoices[[#This Row],[New Unit Price]]&lt;100,"Basic","Premium")))</f>
        <v>Basic</v>
      </c>
      <c r="N420">
        <f>VLOOKUP(Invoices[[#This Row],[Part  '#]],Products[],4,0)</f>
        <v>7.09</v>
      </c>
      <c r="O420" t="str">
        <f>VLOOKUP(Invoices[[#This Row],[Customer Account]],Customers[],4,0)</f>
        <v>Automotive</v>
      </c>
      <c r="P420" t="str">
        <f>VLOOKUP(Invoices[[#This Row],[Customer Account]],Customers[],3,0)</f>
        <v>North Carolina</v>
      </c>
      <c r="Q420" t="str">
        <f>VLOOKUP(Invoices[[#This Row],[Part  '#]],Products[],3,0)</f>
        <v>Consumables</v>
      </c>
      <c r="R420" s="25">
        <f>Invoices[[#This Row],[Quantity]]*Invoices[[#This Row],[Unit Cost]]</f>
        <v>120.53</v>
      </c>
      <c r="S420" s="25">
        <f>Invoices[[#This Row],[Quantity]]*Invoices[[#This Row],[New Unit Price]]</f>
        <v>408</v>
      </c>
      <c r="T420" s="25">
        <f>Invoices[[#This Row],[Revenue]]-Invoices[[#This Row],[Cost]]</f>
        <v>287.47000000000003</v>
      </c>
      <c r="U420" s="25" t="str">
        <f>TEXT(Invoices[[#This Row],[Date]],"MMM")</f>
        <v>Nov</v>
      </c>
      <c r="V420" s="29">
        <f>CHOOSE(MONTH(Invoices[[#This Row],[Date]]),1,1,1,2,2,2,3,3,3,4,4,4)</f>
        <v>4</v>
      </c>
      <c r="W420" s="30">
        <f>IFERROR(Invoices[[#This Row],[Profit]]/Invoices[[#This Row],[Revenue]],0)</f>
        <v>0.70458333333333345</v>
      </c>
    </row>
    <row r="421" spans="1:23" x14ac:dyDescent="0.3">
      <c r="A421" s="19" t="s">
        <v>5</v>
      </c>
      <c r="B421" s="9">
        <v>22945</v>
      </c>
      <c r="C421" s="15">
        <v>41579</v>
      </c>
      <c r="D421" s="9">
        <v>116</v>
      </c>
      <c r="E421" s="10" t="s">
        <v>84</v>
      </c>
      <c r="F421" s="8">
        <v>1</v>
      </c>
      <c r="G421" s="10"/>
      <c r="H421" s="4" t="s">
        <v>125</v>
      </c>
      <c r="I421" s="4" t="s">
        <v>40</v>
      </c>
      <c r="J421" s="4">
        <v>50</v>
      </c>
      <c r="K421" s="23">
        <v>30</v>
      </c>
      <c r="L421">
        <f>IF(Invoices[[#This Row],[Document Type]]="Return",Invoices[[#This Row],[Unit Price]]*-1,Invoices[[#This Row],[Unit Price]])</f>
        <v>30</v>
      </c>
      <c r="M421" t="str">
        <f>IF(Invoices[[#This Row],[New Unit Price]]&lt;0,"Return",
IF(Invoices[[#This Row],[New Unit Price]]=0,"Free",IF(Invoices[[#This Row],[New Unit Price]]&lt;100,"Basic","Premium")))</f>
        <v>Basic</v>
      </c>
      <c r="N421">
        <f>VLOOKUP(Invoices[[#This Row],[Part  '#]],Products[],4,0)</f>
        <v>6.9</v>
      </c>
      <c r="O421" t="str">
        <f>VLOOKUP(Invoices[[#This Row],[Customer Account]],Customers[],4,0)</f>
        <v>Automotive</v>
      </c>
      <c r="P421" t="str">
        <f>VLOOKUP(Invoices[[#This Row],[Customer Account]],Customers[],3,0)</f>
        <v>Tennessee</v>
      </c>
      <c r="Q421" t="str">
        <f>VLOOKUP(Invoices[[#This Row],[Part  '#]],Products[],3,0)</f>
        <v>Consumables</v>
      </c>
      <c r="R421" s="25">
        <f>Invoices[[#This Row],[Quantity]]*Invoices[[#This Row],[Unit Cost]]</f>
        <v>345</v>
      </c>
      <c r="S421" s="25">
        <f>Invoices[[#This Row],[Quantity]]*Invoices[[#This Row],[New Unit Price]]</f>
        <v>1500</v>
      </c>
      <c r="T421" s="25">
        <f>Invoices[[#This Row],[Revenue]]-Invoices[[#This Row],[Cost]]</f>
        <v>1155</v>
      </c>
      <c r="U421" s="25" t="str">
        <f>TEXT(Invoices[[#This Row],[Date]],"MMM")</f>
        <v>Nov</v>
      </c>
      <c r="V421" s="29">
        <f>CHOOSE(MONTH(Invoices[[#This Row],[Date]]),1,1,1,2,2,2,3,3,3,4,4,4)</f>
        <v>4</v>
      </c>
      <c r="W421" s="30">
        <f>IFERROR(Invoices[[#This Row],[Profit]]/Invoices[[#This Row],[Revenue]],0)</f>
        <v>0.77</v>
      </c>
    </row>
    <row r="422" spans="1:23" x14ac:dyDescent="0.3">
      <c r="A422" s="19" t="s">
        <v>5</v>
      </c>
      <c r="B422" s="9">
        <v>22945</v>
      </c>
      <c r="C422" s="15">
        <v>41579</v>
      </c>
      <c r="D422" s="9">
        <v>116</v>
      </c>
      <c r="E422" s="10" t="s">
        <v>84</v>
      </c>
      <c r="F422" s="8">
        <v>2</v>
      </c>
      <c r="G422" s="10"/>
      <c r="H422" s="4" t="s">
        <v>132</v>
      </c>
      <c r="I422" s="4" t="s">
        <v>49</v>
      </c>
      <c r="J422" s="4">
        <v>20</v>
      </c>
      <c r="K422" s="23">
        <v>70</v>
      </c>
      <c r="L422">
        <f>IF(Invoices[[#This Row],[Document Type]]="Return",Invoices[[#This Row],[Unit Price]]*-1,Invoices[[#This Row],[Unit Price]])</f>
        <v>70</v>
      </c>
      <c r="M422" t="str">
        <f>IF(Invoices[[#This Row],[New Unit Price]]&lt;0,"Return",
IF(Invoices[[#This Row],[New Unit Price]]=0,"Free",IF(Invoices[[#This Row],[New Unit Price]]&lt;100,"Basic","Premium")))</f>
        <v>Basic</v>
      </c>
      <c r="N422">
        <f>VLOOKUP(Invoices[[#This Row],[Part  '#]],Products[],4,0)</f>
        <v>13.92</v>
      </c>
      <c r="O422" t="str">
        <f>VLOOKUP(Invoices[[#This Row],[Customer Account]],Customers[],4,0)</f>
        <v>Automotive</v>
      </c>
      <c r="P422" t="str">
        <f>VLOOKUP(Invoices[[#This Row],[Customer Account]],Customers[],3,0)</f>
        <v>Tennessee</v>
      </c>
      <c r="Q422" t="str">
        <f>VLOOKUP(Invoices[[#This Row],[Part  '#]],Products[],3,0)</f>
        <v>Consumables</v>
      </c>
      <c r="R422" s="25">
        <f>Invoices[[#This Row],[Quantity]]*Invoices[[#This Row],[Unit Cost]]</f>
        <v>278.39999999999998</v>
      </c>
      <c r="S422" s="25">
        <f>Invoices[[#This Row],[Quantity]]*Invoices[[#This Row],[New Unit Price]]</f>
        <v>1400</v>
      </c>
      <c r="T422" s="25">
        <f>Invoices[[#This Row],[Revenue]]-Invoices[[#This Row],[Cost]]</f>
        <v>1121.5999999999999</v>
      </c>
      <c r="U422" s="25" t="str">
        <f>TEXT(Invoices[[#This Row],[Date]],"MMM")</f>
        <v>Nov</v>
      </c>
      <c r="V422" s="29">
        <f>CHOOSE(MONTH(Invoices[[#This Row],[Date]]),1,1,1,2,2,2,3,3,3,4,4,4)</f>
        <v>4</v>
      </c>
      <c r="W422" s="30">
        <f>IFERROR(Invoices[[#This Row],[Profit]]/Invoices[[#This Row],[Revenue]],0)</f>
        <v>0.80114285714285705</v>
      </c>
    </row>
    <row r="423" spans="1:23" x14ac:dyDescent="0.3">
      <c r="A423" s="19" t="s">
        <v>5</v>
      </c>
      <c r="B423" s="9">
        <v>22946</v>
      </c>
      <c r="C423" s="15">
        <v>41579</v>
      </c>
      <c r="D423" s="9">
        <v>117</v>
      </c>
      <c r="E423" s="10" t="s">
        <v>85</v>
      </c>
      <c r="F423" s="8">
        <v>1</v>
      </c>
      <c r="G423" s="10"/>
      <c r="H423" s="4" t="s">
        <v>132</v>
      </c>
      <c r="I423" s="4" t="s">
        <v>49</v>
      </c>
      <c r="J423" s="4">
        <v>12</v>
      </c>
      <c r="K423" s="23">
        <v>70</v>
      </c>
      <c r="L423">
        <f>IF(Invoices[[#This Row],[Document Type]]="Return",Invoices[[#This Row],[Unit Price]]*-1,Invoices[[#This Row],[Unit Price]])</f>
        <v>70</v>
      </c>
      <c r="M423" t="str">
        <f>IF(Invoices[[#This Row],[New Unit Price]]&lt;0,"Return",
IF(Invoices[[#This Row],[New Unit Price]]=0,"Free",IF(Invoices[[#This Row],[New Unit Price]]&lt;100,"Basic","Premium")))</f>
        <v>Basic</v>
      </c>
      <c r="N423">
        <f>VLOOKUP(Invoices[[#This Row],[Part  '#]],Products[],4,0)</f>
        <v>13.92</v>
      </c>
      <c r="O423" t="str">
        <f>VLOOKUP(Invoices[[#This Row],[Customer Account]],Customers[],4,0)</f>
        <v>Automotive</v>
      </c>
      <c r="P423" t="str">
        <f>VLOOKUP(Invoices[[#This Row],[Customer Account]],Customers[],3,0)</f>
        <v>Georgia</v>
      </c>
      <c r="Q423" t="str">
        <f>VLOOKUP(Invoices[[#This Row],[Part  '#]],Products[],3,0)</f>
        <v>Consumables</v>
      </c>
      <c r="R423" s="25">
        <f>Invoices[[#This Row],[Quantity]]*Invoices[[#This Row],[Unit Cost]]</f>
        <v>167.04</v>
      </c>
      <c r="S423" s="25">
        <f>Invoices[[#This Row],[Quantity]]*Invoices[[#This Row],[New Unit Price]]</f>
        <v>840</v>
      </c>
      <c r="T423" s="25">
        <f>Invoices[[#This Row],[Revenue]]-Invoices[[#This Row],[Cost]]</f>
        <v>672.96</v>
      </c>
      <c r="U423" s="25" t="str">
        <f>TEXT(Invoices[[#This Row],[Date]],"MMM")</f>
        <v>Nov</v>
      </c>
      <c r="V423" s="29">
        <f>CHOOSE(MONTH(Invoices[[#This Row],[Date]]),1,1,1,2,2,2,3,3,3,4,4,4)</f>
        <v>4</v>
      </c>
      <c r="W423" s="30">
        <f>IFERROR(Invoices[[#This Row],[Profit]]/Invoices[[#This Row],[Revenue]],0)</f>
        <v>0.80114285714285716</v>
      </c>
    </row>
    <row r="424" spans="1:23" x14ac:dyDescent="0.3">
      <c r="A424" s="19" t="s">
        <v>5</v>
      </c>
      <c r="B424" s="9">
        <v>22946</v>
      </c>
      <c r="C424" s="15">
        <v>41579</v>
      </c>
      <c r="D424" s="9">
        <v>117</v>
      </c>
      <c r="E424" s="10" t="s">
        <v>85</v>
      </c>
      <c r="F424" s="8">
        <v>2</v>
      </c>
      <c r="G424" s="10"/>
      <c r="H424" s="4" t="s">
        <v>125</v>
      </c>
      <c r="I424" s="4" t="s">
        <v>40</v>
      </c>
      <c r="J424" s="4">
        <v>12</v>
      </c>
      <c r="K424" s="23">
        <v>30</v>
      </c>
      <c r="L424">
        <f>IF(Invoices[[#This Row],[Document Type]]="Return",Invoices[[#This Row],[Unit Price]]*-1,Invoices[[#This Row],[Unit Price]])</f>
        <v>30</v>
      </c>
      <c r="M424" t="str">
        <f>IF(Invoices[[#This Row],[New Unit Price]]&lt;0,"Return",
IF(Invoices[[#This Row],[New Unit Price]]=0,"Free",IF(Invoices[[#This Row],[New Unit Price]]&lt;100,"Basic","Premium")))</f>
        <v>Basic</v>
      </c>
      <c r="N424">
        <f>VLOOKUP(Invoices[[#This Row],[Part  '#]],Products[],4,0)</f>
        <v>6.9</v>
      </c>
      <c r="O424" t="str">
        <f>VLOOKUP(Invoices[[#This Row],[Customer Account]],Customers[],4,0)</f>
        <v>Automotive</v>
      </c>
      <c r="P424" t="str">
        <f>VLOOKUP(Invoices[[#This Row],[Customer Account]],Customers[],3,0)</f>
        <v>Georgia</v>
      </c>
      <c r="Q424" t="str">
        <f>VLOOKUP(Invoices[[#This Row],[Part  '#]],Products[],3,0)</f>
        <v>Consumables</v>
      </c>
      <c r="R424" s="25">
        <f>Invoices[[#This Row],[Quantity]]*Invoices[[#This Row],[Unit Cost]]</f>
        <v>82.800000000000011</v>
      </c>
      <c r="S424" s="25">
        <f>Invoices[[#This Row],[Quantity]]*Invoices[[#This Row],[New Unit Price]]</f>
        <v>360</v>
      </c>
      <c r="T424" s="25">
        <f>Invoices[[#This Row],[Revenue]]-Invoices[[#This Row],[Cost]]</f>
        <v>277.2</v>
      </c>
      <c r="U424" s="25" t="str">
        <f>TEXT(Invoices[[#This Row],[Date]],"MMM")</f>
        <v>Nov</v>
      </c>
      <c r="V424" s="29">
        <f>CHOOSE(MONTH(Invoices[[#This Row],[Date]]),1,1,1,2,2,2,3,3,3,4,4,4)</f>
        <v>4</v>
      </c>
      <c r="W424" s="30">
        <f>IFERROR(Invoices[[#This Row],[Profit]]/Invoices[[#This Row],[Revenue]],0)</f>
        <v>0.77</v>
      </c>
    </row>
    <row r="425" spans="1:23" x14ac:dyDescent="0.3">
      <c r="A425" s="19" t="s">
        <v>5</v>
      </c>
      <c r="B425" s="9">
        <v>22947</v>
      </c>
      <c r="C425" s="15">
        <v>41579</v>
      </c>
      <c r="D425" s="9">
        <v>119</v>
      </c>
      <c r="E425" s="10" t="s">
        <v>87</v>
      </c>
      <c r="F425" s="8">
        <v>1</v>
      </c>
      <c r="G425" s="10"/>
      <c r="H425" s="4" t="s">
        <v>135</v>
      </c>
      <c r="I425" s="4" t="s">
        <v>52</v>
      </c>
      <c r="J425" s="4">
        <v>5</v>
      </c>
      <c r="K425" s="23">
        <v>100</v>
      </c>
      <c r="L425">
        <f>IF(Invoices[[#This Row],[Document Type]]="Return",Invoices[[#This Row],[Unit Price]]*-1,Invoices[[#This Row],[Unit Price]])</f>
        <v>100</v>
      </c>
      <c r="M425" t="str">
        <f>IF(Invoices[[#This Row],[New Unit Price]]&lt;0,"Return",
IF(Invoices[[#This Row],[New Unit Price]]=0,"Free",IF(Invoices[[#This Row],[New Unit Price]]&lt;100,"Basic","Premium")))</f>
        <v>Premium</v>
      </c>
      <c r="N425">
        <f>VLOOKUP(Invoices[[#This Row],[Part  '#]],Products[],4,0)</f>
        <v>27.17</v>
      </c>
      <c r="O425" t="str">
        <f>VLOOKUP(Invoices[[#This Row],[Customer Account]],Customers[],4,0)</f>
        <v>Financial</v>
      </c>
      <c r="P425" t="str">
        <f>VLOOKUP(Invoices[[#This Row],[Customer Account]],Customers[],3,0)</f>
        <v>Georgia</v>
      </c>
      <c r="Q425" t="str">
        <f>VLOOKUP(Invoices[[#This Row],[Part  '#]],Products[],3,0)</f>
        <v>Consumables</v>
      </c>
      <c r="R425" s="25">
        <f>Invoices[[#This Row],[Quantity]]*Invoices[[#This Row],[Unit Cost]]</f>
        <v>135.85000000000002</v>
      </c>
      <c r="S425" s="25">
        <f>Invoices[[#This Row],[Quantity]]*Invoices[[#This Row],[New Unit Price]]</f>
        <v>500</v>
      </c>
      <c r="T425" s="25">
        <f>Invoices[[#This Row],[Revenue]]-Invoices[[#This Row],[Cost]]</f>
        <v>364.15</v>
      </c>
      <c r="U425" s="25" t="str">
        <f>TEXT(Invoices[[#This Row],[Date]],"MMM")</f>
        <v>Nov</v>
      </c>
      <c r="V425" s="29">
        <f>CHOOSE(MONTH(Invoices[[#This Row],[Date]]),1,1,1,2,2,2,3,3,3,4,4,4)</f>
        <v>4</v>
      </c>
      <c r="W425" s="30">
        <f>IFERROR(Invoices[[#This Row],[Profit]]/Invoices[[#This Row],[Revenue]],0)</f>
        <v>0.72829999999999995</v>
      </c>
    </row>
    <row r="426" spans="1:23" x14ac:dyDescent="0.3">
      <c r="A426" s="19" t="s">
        <v>5</v>
      </c>
      <c r="B426" s="9">
        <v>22947</v>
      </c>
      <c r="C426" s="15">
        <v>41579</v>
      </c>
      <c r="D426" s="9">
        <v>119</v>
      </c>
      <c r="E426" s="10" t="s">
        <v>87</v>
      </c>
      <c r="F426" s="8">
        <v>2</v>
      </c>
      <c r="G426" s="10"/>
      <c r="H426" s="4" t="s">
        <v>136</v>
      </c>
      <c r="I426" s="4" t="s">
        <v>53</v>
      </c>
      <c r="J426" s="4">
        <v>5</v>
      </c>
      <c r="K426" s="23">
        <v>140</v>
      </c>
      <c r="L426">
        <f>IF(Invoices[[#This Row],[Document Type]]="Return",Invoices[[#This Row],[Unit Price]]*-1,Invoices[[#This Row],[Unit Price]])</f>
        <v>140</v>
      </c>
      <c r="M426" t="str">
        <f>IF(Invoices[[#This Row],[New Unit Price]]&lt;0,"Return",
IF(Invoices[[#This Row],[New Unit Price]]=0,"Free",IF(Invoices[[#This Row],[New Unit Price]]&lt;100,"Basic","Premium")))</f>
        <v>Premium</v>
      </c>
      <c r="N426">
        <f>VLOOKUP(Invoices[[#This Row],[Part  '#]],Products[],4,0)</f>
        <v>34.299999999999997</v>
      </c>
      <c r="O426" t="str">
        <f>VLOOKUP(Invoices[[#This Row],[Customer Account]],Customers[],4,0)</f>
        <v>Financial</v>
      </c>
      <c r="P426" t="str">
        <f>VLOOKUP(Invoices[[#This Row],[Customer Account]],Customers[],3,0)</f>
        <v>Georgia</v>
      </c>
      <c r="Q426" t="str">
        <f>VLOOKUP(Invoices[[#This Row],[Part  '#]],Products[],3,0)</f>
        <v>Consumables</v>
      </c>
      <c r="R426" s="25">
        <f>Invoices[[#This Row],[Quantity]]*Invoices[[#This Row],[Unit Cost]]</f>
        <v>171.5</v>
      </c>
      <c r="S426" s="25">
        <f>Invoices[[#This Row],[Quantity]]*Invoices[[#This Row],[New Unit Price]]</f>
        <v>700</v>
      </c>
      <c r="T426" s="25">
        <f>Invoices[[#This Row],[Revenue]]-Invoices[[#This Row],[Cost]]</f>
        <v>528.5</v>
      </c>
      <c r="U426" s="25" t="str">
        <f>TEXT(Invoices[[#This Row],[Date]],"MMM")</f>
        <v>Nov</v>
      </c>
      <c r="V426" s="29">
        <f>CHOOSE(MONTH(Invoices[[#This Row],[Date]]),1,1,1,2,2,2,3,3,3,4,4,4)</f>
        <v>4</v>
      </c>
      <c r="W426" s="30">
        <f>IFERROR(Invoices[[#This Row],[Profit]]/Invoices[[#This Row],[Revenue]],0)</f>
        <v>0.755</v>
      </c>
    </row>
    <row r="427" spans="1:23" x14ac:dyDescent="0.3">
      <c r="A427" s="19" t="s">
        <v>5</v>
      </c>
      <c r="B427" s="9">
        <v>22947</v>
      </c>
      <c r="C427" s="15">
        <v>41579</v>
      </c>
      <c r="D427" s="9">
        <v>119</v>
      </c>
      <c r="E427" s="10" t="s">
        <v>87</v>
      </c>
      <c r="F427" s="8">
        <v>3</v>
      </c>
      <c r="G427" s="10"/>
      <c r="H427" s="4" t="s">
        <v>128</v>
      </c>
      <c r="I427" s="4" t="s">
        <v>45</v>
      </c>
      <c r="J427" s="4">
        <v>50</v>
      </c>
      <c r="K427" s="23">
        <v>25</v>
      </c>
      <c r="L427">
        <f>IF(Invoices[[#This Row],[Document Type]]="Return",Invoices[[#This Row],[Unit Price]]*-1,Invoices[[#This Row],[Unit Price]])</f>
        <v>25</v>
      </c>
      <c r="M427" t="str">
        <f>IF(Invoices[[#This Row],[New Unit Price]]&lt;0,"Return",
IF(Invoices[[#This Row],[New Unit Price]]=0,"Free",IF(Invoices[[#This Row],[New Unit Price]]&lt;100,"Basic","Premium")))</f>
        <v>Basic</v>
      </c>
      <c r="N427">
        <f>VLOOKUP(Invoices[[#This Row],[Part  '#]],Products[],4,0)</f>
        <v>5.16</v>
      </c>
      <c r="O427" t="str">
        <f>VLOOKUP(Invoices[[#This Row],[Customer Account]],Customers[],4,0)</f>
        <v>Financial</v>
      </c>
      <c r="P427" t="str">
        <f>VLOOKUP(Invoices[[#This Row],[Customer Account]],Customers[],3,0)</f>
        <v>Georgia</v>
      </c>
      <c r="Q427" t="str">
        <f>VLOOKUP(Invoices[[#This Row],[Part  '#]],Products[],3,0)</f>
        <v>Consumables</v>
      </c>
      <c r="R427" s="25">
        <f>Invoices[[#This Row],[Quantity]]*Invoices[[#This Row],[Unit Cost]]</f>
        <v>258</v>
      </c>
      <c r="S427" s="25">
        <f>Invoices[[#This Row],[Quantity]]*Invoices[[#This Row],[New Unit Price]]</f>
        <v>1250</v>
      </c>
      <c r="T427" s="25">
        <f>Invoices[[#This Row],[Revenue]]-Invoices[[#This Row],[Cost]]</f>
        <v>992</v>
      </c>
      <c r="U427" s="25" t="str">
        <f>TEXT(Invoices[[#This Row],[Date]],"MMM")</f>
        <v>Nov</v>
      </c>
      <c r="V427" s="29">
        <f>CHOOSE(MONTH(Invoices[[#This Row],[Date]]),1,1,1,2,2,2,3,3,3,4,4,4)</f>
        <v>4</v>
      </c>
      <c r="W427" s="30">
        <f>IFERROR(Invoices[[#This Row],[Profit]]/Invoices[[#This Row],[Revenue]],0)</f>
        <v>0.79359999999999997</v>
      </c>
    </row>
    <row r="428" spans="1:23" x14ac:dyDescent="0.3">
      <c r="A428" s="19" t="s">
        <v>5</v>
      </c>
      <c r="B428" s="9">
        <v>22947</v>
      </c>
      <c r="C428" s="15">
        <v>41579</v>
      </c>
      <c r="D428" s="9">
        <v>119</v>
      </c>
      <c r="E428" s="10" t="s">
        <v>87</v>
      </c>
      <c r="F428" s="8">
        <v>4</v>
      </c>
      <c r="G428" s="10"/>
      <c r="H428" s="4" t="s">
        <v>130</v>
      </c>
      <c r="I428" s="4" t="s">
        <v>47</v>
      </c>
      <c r="J428" s="4">
        <v>50</v>
      </c>
      <c r="K428" s="23">
        <v>24</v>
      </c>
      <c r="L428">
        <f>IF(Invoices[[#This Row],[Document Type]]="Return",Invoices[[#This Row],[Unit Price]]*-1,Invoices[[#This Row],[Unit Price]])</f>
        <v>24</v>
      </c>
      <c r="M428" t="str">
        <f>IF(Invoices[[#This Row],[New Unit Price]]&lt;0,"Return",
IF(Invoices[[#This Row],[New Unit Price]]=0,"Free",IF(Invoices[[#This Row],[New Unit Price]]&lt;100,"Basic","Premium")))</f>
        <v>Basic</v>
      </c>
      <c r="N428">
        <f>VLOOKUP(Invoices[[#This Row],[Part  '#]],Products[],4,0)</f>
        <v>7.09</v>
      </c>
      <c r="O428" t="str">
        <f>VLOOKUP(Invoices[[#This Row],[Customer Account]],Customers[],4,0)</f>
        <v>Financial</v>
      </c>
      <c r="P428" t="str">
        <f>VLOOKUP(Invoices[[#This Row],[Customer Account]],Customers[],3,0)</f>
        <v>Georgia</v>
      </c>
      <c r="Q428" t="str">
        <f>VLOOKUP(Invoices[[#This Row],[Part  '#]],Products[],3,0)</f>
        <v>Consumables</v>
      </c>
      <c r="R428" s="25">
        <f>Invoices[[#This Row],[Quantity]]*Invoices[[#This Row],[Unit Cost]]</f>
        <v>354.5</v>
      </c>
      <c r="S428" s="25">
        <f>Invoices[[#This Row],[Quantity]]*Invoices[[#This Row],[New Unit Price]]</f>
        <v>1200</v>
      </c>
      <c r="T428" s="25">
        <f>Invoices[[#This Row],[Revenue]]-Invoices[[#This Row],[Cost]]</f>
        <v>845.5</v>
      </c>
      <c r="U428" s="25" t="str">
        <f>TEXT(Invoices[[#This Row],[Date]],"MMM")</f>
        <v>Nov</v>
      </c>
      <c r="V428" s="29">
        <f>CHOOSE(MONTH(Invoices[[#This Row],[Date]]),1,1,1,2,2,2,3,3,3,4,4,4)</f>
        <v>4</v>
      </c>
      <c r="W428" s="30">
        <f>IFERROR(Invoices[[#This Row],[Profit]]/Invoices[[#This Row],[Revenue]],0)</f>
        <v>0.70458333333333334</v>
      </c>
    </row>
    <row r="429" spans="1:23" x14ac:dyDescent="0.3">
      <c r="A429" s="19" t="s">
        <v>5</v>
      </c>
      <c r="B429" s="9">
        <v>22948</v>
      </c>
      <c r="C429" s="15">
        <v>41589</v>
      </c>
      <c r="D429" s="9">
        <v>114</v>
      </c>
      <c r="E429" s="10" t="s">
        <v>82</v>
      </c>
      <c r="F429" s="8">
        <v>1</v>
      </c>
      <c r="G429" s="10"/>
      <c r="H429" s="4" t="s">
        <v>108</v>
      </c>
      <c r="I429" s="4" t="s">
        <v>23</v>
      </c>
      <c r="J429" s="4">
        <v>1</v>
      </c>
      <c r="K429" s="23">
        <v>2700</v>
      </c>
      <c r="L429">
        <f>IF(Invoices[[#This Row],[Document Type]]="Return",Invoices[[#This Row],[Unit Price]]*-1,Invoices[[#This Row],[Unit Price]])</f>
        <v>2700</v>
      </c>
      <c r="M429" t="str">
        <f>IF(Invoices[[#This Row],[New Unit Price]]&lt;0,"Return",
IF(Invoices[[#This Row],[New Unit Price]]=0,"Free",IF(Invoices[[#This Row],[New Unit Price]]&lt;100,"Basic","Premium")))</f>
        <v>Premium</v>
      </c>
      <c r="N429">
        <f>VLOOKUP(Invoices[[#This Row],[Part  '#]],Products[],4,0)</f>
        <v>1440.45</v>
      </c>
      <c r="O429" t="str">
        <f>VLOOKUP(Invoices[[#This Row],[Customer Account]],Customers[],4,0)</f>
        <v>Automotive</v>
      </c>
      <c r="P429" t="str">
        <f>VLOOKUP(Invoices[[#This Row],[Customer Account]],Customers[],3,0)</f>
        <v>North Carolina</v>
      </c>
      <c r="Q429" t="str">
        <f>VLOOKUP(Invoices[[#This Row],[Part  '#]],Products[],3,0)</f>
        <v>Product</v>
      </c>
      <c r="R429" s="25">
        <f>Invoices[[#This Row],[Quantity]]*Invoices[[#This Row],[Unit Cost]]</f>
        <v>1440.45</v>
      </c>
      <c r="S429" s="25">
        <f>Invoices[[#This Row],[Quantity]]*Invoices[[#This Row],[New Unit Price]]</f>
        <v>2700</v>
      </c>
      <c r="T429" s="25">
        <f>Invoices[[#This Row],[Revenue]]-Invoices[[#This Row],[Cost]]</f>
        <v>1259.55</v>
      </c>
      <c r="U429" s="25" t="str">
        <f>TEXT(Invoices[[#This Row],[Date]],"MMM")</f>
        <v>Nov</v>
      </c>
      <c r="V429" s="29">
        <f>CHOOSE(MONTH(Invoices[[#This Row],[Date]]),1,1,1,2,2,2,3,3,3,4,4,4)</f>
        <v>4</v>
      </c>
      <c r="W429" s="30">
        <f>IFERROR(Invoices[[#This Row],[Profit]]/Invoices[[#This Row],[Revenue]],0)</f>
        <v>0.46649999999999997</v>
      </c>
    </row>
    <row r="430" spans="1:23" x14ac:dyDescent="0.3">
      <c r="A430" s="19" t="s">
        <v>5</v>
      </c>
      <c r="B430" s="9">
        <v>22948</v>
      </c>
      <c r="C430" s="15">
        <v>41589</v>
      </c>
      <c r="D430" s="9">
        <v>114</v>
      </c>
      <c r="E430" s="10" t="s">
        <v>82</v>
      </c>
      <c r="F430" s="8">
        <v>2</v>
      </c>
      <c r="G430" s="10"/>
      <c r="H430" s="4" t="s">
        <v>137</v>
      </c>
      <c r="I430" s="4" t="s">
        <v>31</v>
      </c>
      <c r="J430" s="4">
        <v>1</v>
      </c>
      <c r="K430" s="23">
        <v>30</v>
      </c>
      <c r="L430">
        <f>IF(Invoices[[#This Row],[Document Type]]="Return",Invoices[[#This Row],[Unit Price]]*-1,Invoices[[#This Row],[Unit Price]])</f>
        <v>30</v>
      </c>
      <c r="M430" t="str">
        <f>IF(Invoices[[#This Row],[New Unit Price]]&lt;0,"Return",
IF(Invoices[[#This Row],[New Unit Price]]=0,"Free",IF(Invoices[[#This Row],[New Unit Price]]&lt;100,"Basic","Premium")))</f>
        <v>Basic</v>
      </c>
      <c r="N430">
        <f>VLOOKUP(Invoices[[#This Row],[Part  '#]],Products[],4,0)</f>
        <v>6.3</v>
      </c>
      <c r="O430" t="str">
        <f>VLOOKUP(Invoices[[#This Row],[Customer Account]],Customers[],4,0)</f>
        <v>Automotive</v>
      </c>
      <c r="P430" t="str">
        <f>VLOOKUP(Invoices[[#This Row],[Customer Account]],Customers[],3,0)</f>
        <v>North Carolina</v>
      </c>
      <c r="Q430" t="str">
        <f>VLOOKUP(Invoices[[#This Row],[Part  '#]],Products[],3,0)</f>
        <v>Accessories</v>
      </c>
      <c r="R430" s="25">
        <f>Invoices[[#This Row],[Quantity]]*Invoices[[#This Row],[Unit Cost]]</f>
        <v>6.3</v>
      </c>
      <c r="S430" s="25">
        <f>Invoices[[#This Row],[Quantity]]*Invoices[[#This Row],[New Unit Price]]</f>
        <v>30</v>
      </c>
      <c r="T430" s="25">
        <f>Invoices[[#This Row],[Revenue]]-Invoices[[#This Row],[Cost]]</f>
        <v>23.7</v>
      </c>
      <c r="U430" s="25" t="str">
        <f>TEXT(Invoices[[#This Row],[Date]],"MMM")</f>
        <v>Nov</v>
      </c>
      <c r="V430" s="29">
        <f>CHOOSE(MONTH(Invoices[[#This Row],[Date]]),1,1,1,2,2,2,3,3,3,4,4,4)</f>
        <v>4</v>
      </c>
      <c r="W430" s="30">
        <f>IFERROR(Invoices[[#This Row],[Profit]]/Invoices[[#This Row],[Revenue]],0)</f>
        <v>0.78999999999999992</v>
      </c>
    </row>
    <row r="431" spans="1:23" x14ac:dyDescent="0.3">
      <c r="A431" s="19" t="s">
        <v>5</v>
      </c>
      <c r="B431" s="9">
        <v>22948</v>
      </c>
      <c r="C431" s="15">
        <v>41589</v>
      </c>
      <c r="D431" s="9">
        <v>114</v>
      </c>
      <c r="E431" s="10" t="s">
        <v>82</v>
      </c>
      <c r="F431" s="8">
        <v>3</v>
      </c>
      <c r="G431" s="10"/>
      <c r="H431" s="4" t="s">
        <v>117</v>
      </c>
      <c r="I431" s="4" t="s">
        <v>33</v>
      </c>
      <c r="J431" s="4">
        <v>1</v>
      </c>
      <c r="K431" s="23">
        <v>30</v>
      </c>
      <c r="L431">
        <f>IF(Invoices[[#This Row],[Document Type]]="Return",Invoices[[#This Row],[Unit Price]]*-1,Invoices[[#This Row],[Unit Price]])</f>
        <v>30</v>
      </c>
      <c r="M431" t="str">
        <f>IF(Invoices[[#This Row],[New Unit Price]]&lt;0,"Return",
IF(Invoices[[#This Row],[New Unit Price]]=0,"Free",IF(Invoices[[#This Row],[New Unit Price]]&lt;100,"Basic","Premium")))</f>
        <v>Basic</v>
      </c>
      <c r="N431">
        <f>VLOOKUP(Invoices[[#This Row],[Part  '#]],Products[],4,0)</f>
        <v>11.59</v>
      </c>
      <c r="O431" t="str">
        <f>VLOOKUP(Invoices[[#This Row],[Customer Account]],Customers[],4,0)</f>
        <v>Automotive</v>
      </c>
      <c r="P431" t="str">
        <f>VLOOKUP(Invoices[[#This Row],[Customer Account]],Customers[],3,0)</f>
        <v>North Carolina</v>
      </c>
      <c r="Q431" t="str">
        <f>VLOOKUP(Invoices[[#This Row],[Part  '#]],Products[],3,0)</f>
        <v>Accessories</v>
      </c>
      <c r="R431" s="25">
        <f>Invoices[[#This Row],[Quantity]]*Invoices[[#This Row],[Unit Cost]]</f>
        <v>11.59</v>
      </c>
      <c r="S431" s="25">
        <f>Invoices[[#This Row],[Quantity]]*Invoices[[#This Row],[New Unit Price]]</f>
        <v>30</v>
      </c>
      <c r="T431" s="25">
        <f>Invoices[[#This Row],[Revenue]]-Invoices[[#This Row],[Cost]]</f>
        <v>18.41</v>
      </c>
      <c r="U431" s="25" t="str">
        <f>TEXT(Invoices[[#This Row],[Date]],"MMM")</f>
        <v>Nov</v>
      </c>
      <c r="V431" s="29">
        <f>CHOOSE(MONTH(Invoices[[#This Row],[Date]]),1,1,1,2,2,2,3,3,3,4,4,4)</f>
        <v>4</v>
      </c>
      <c r="W431" s="30">
        <f>IFERROR(Invoices[[#This Row],[Profit]]/Invoices[[#This Row],[Revenue]],0)</f>
        <v>0.61366666666666669</v>
      </c>
    </row>
    <row r="432" spans="1:23" x14ac:dyDescent="0.3">
      <c r="A432" s="19" t="s">
        <v>5</v>
      </c>
      <c r="B432" s="9">
        <v>22948</v>
      </c>
      <c r="C432" s="15">
        <v>41589</v>
      </c>
      <c r="D432" s="9">
        <v>114</v>
      </c>
      <c r="E432" s="10" t="s">
        <v>82</v>
      </c>
      <c r="F432" s="8">
        <v>4</v>
      </c>
      <c r="G432" s="10"/>
      <c r="H432" s="4" t="s">
        <v>119</v>
      </c>
      <c r="I432" s="4" t="s">
        <v>43</v>
      </c>
      <c r="J432" s="4">
        <v>1</v>
      </c>
      <c r="K432" s="23">
        <v>60</v>
      </c>
      <c r="L432">
        <f>IF(Invoices[[#This Row],[Document Type]]="Return",Invoices[[#This Row],[Unit Price]]*-1,Invoices[[#This Row],[Unit Price]])</f>
        <v>60</v>
      </c>
      <c r="M432" t="str">
        <f>IF(Invoices[[#This Row],[New Unit Price]]&lt;0,"Return",
IF(Invoices[[#This Row],[New Unit Price]]=0,"Free",IF(Invoices[[#This Row],[New Unit Price]]&lt;100,"Basic","Premium")))</f>
        <v>Basic</v>
      </c>
      <c r="N432">
        <f>VLOOKUP(Invoices[[#This Row],[Part  '#]],Products[],4,0)</f>
        <v>17.22</v>
      </c>
      <c r="O432" t="str">
        <f>VLOOKUP(Invoices[[#This Row],[Customer Account]],Customers[],4,0)</f>
        <v>Automotive</v>
      </c>
      <c r="P432" t="str">
        <f>VLOOKUP(Invoices[[#This Row],[Customer Account]],Customers[],3,0)</f>
        <v>North Carolina</v>
      </c>
      <c r="Q432" t="str">
        <f>VLOOKUP(Invoices[[#This Row],[Part  '#]],Products[],3,0)</f>
        <v>Accessories</v>
      </c>
      <c r="R432" s="25">
        <f>Invoices[[#This Row],[Quantity]]*Invoices[[#This Row],[Unit Cost]]</f>
        <v>17.22</v>
      </c>
      <c r="S432" s="25">
        <f>Invoices[[#This Row],[Quantity]]*Invoices[[#This Row],[New Unit Price]]</f>
        <v>60</v>
      </c>
      <c r="T432" s="25">
        <f>Invoices[[#This Row],[Revenue]]-Invoices[[#This Row],[Cost]]</f>
        <v>42.78</v>
      </c>
      <c r="U432" s="25" t="str">
        <f>TEXT(Invoices[[#This Row],[Date]],"MMM")</f>
        <v>Nov</v>
      </c>
      <c r="V432" s="29">
        <f>CHOOSE(MONTH(Invoices[[#This Row],[Date]]),1,1,1,2,2,2,3,3,3,4,4,4)</f>
        <v>4</v>
      </c>
      <c r="W432" s="30">
        <f>IFERROR(Invoices[[#This Row],[Profit]]/Invoices[[#This Row],[Revenue]],0)</f>
        <v>0.71299999999999997</v>
      </c>
    </row>
    <row r="433" spans="1:23" x14ac:dyDescent="0.3">
      <c r="A433" s="19" t="s">
        <v>5</v>
      </c>
      <c r="B433" s="9">
        <v>22949</v>
      </c>
      <c r="C433" s="15">
        <v>41589</v>
      </c>
      <c r="D433" s="9">
        <v>118</v>
      </c>
      <c r="E433" s="10" t="s">
        <v>86</v>
      </c>
      <c r="F433" s="8">
        <v>1</v>
      </c>
      <c r="G433" s="10"/>
      <c r="H433" s="4" t="s">
        <v>132</v>
      </c>
      <c r="I433" s="4" t="s">
        <v>49</v>
      </c>
      <c r="J433" s="4">
        <v>10</v>
      </c>
      <c r="K433" s="23">
        <v>70</v>
      </c>
      <c r="L433">
        <f>IF(Invoices[[#This Row],[Document Type]]="Return",Invoices[[#This Row],[Unit Price]]*-1,Invoices[[#This Row],[Unit Price]])</f>
        <v>70</v>
      </c>
      <c r="M433" t="str">
        <f>IF(Invoices[[#This Row],[New Unit Price]]&lt;0,"Return",
IF(Invoices[[#This Row],[New Unit Price]]=0,"Free",IF(Invoices[[#This Row],[New Unit Price]]&lt;100,"Basic","Premium")))</f>
        <v>Basic</v>
      </c>
      <c r="N433">
        <f>VLOOKUP(Invoices[[#This Row],[Part  '#]],Products[],4,0)</f>
        <v>13.92</v>
      </c>
      <c r="O433" t="str">
        <f>VLOOKUP(Invoices[[#This Row],[Customer Account]],Customers[],4,0)</f>
        <v>Financial</v>
      </c>
      <c r="P433" t="str">
        <f>VLOOKUP(Invoices[[#This Row],[Customer Account]],Customers[],3,0)</f>
        <v>Georgia</v>
      </c>
      <c r="Q433" t="str">
        <f>VLOOKUP(Invoices[[#This Row],[Part  '#]],Products[],3,0)</f>
        <v>Consumables</v>
      </c>
      <c r="R433" s="25">
        <f>Invoices[[#This Row],[Quantity]]*Invoices[[#This Row],[Unit Cost]]</f>
        <v>139.19999999999999</v>
      </c>
      <c r="S433" s="25">
        <f>Invoices[[#This Row],[Quantity]]*Invoices[[#This Row],[New Unit Price]]</f>
        <v>700</v>
      </c>
      <c r="T433" s="25">
        <f>Invoices[[#This Row],[Revenue]]-Invoices[[#This Row],[Cost]]</f>
        <v>560.79999999999995</v>
      </c>
      <c r="U433" s="25" t="str">
        <f>TEXT(Invoices[[#This Row],[Date]],"MMM")</f>
        <v>Nov</v>
      </c>
      <c r="V433" s="29">
        <f>CHOOSE(MONTH(Invoices[[#This Row],[Date]]),1,1,1,2,2,2,3,3,3,4,4,4)</f>
        <v>4</v>
      </c>
      <c r="W433" s="30">
        <f>IFERROR(Invoices[[#This Row],[Profit]]/Invoices[[#This Row],[Revenue]],0)</f>
        <v>0.80114285714285705</v>
      </c>
    </row>
    <row r="434" spans="1:23" x14ac:dyDescent="0.3">
      <c r="A434" s="19" t="s">
        <v>5</v>
      </c>
      <c r="B434" s="9">
        <v>22949</v>
      </c>
      <c r="C434" s="15">
        <v>41589</v>
      </c>
      <c r="D434" s="9">
        <v>118</v>
      </c>
      <c r="E434" s="10" t="s">
        <v>86</v>
      </c>
      <c r="F434" s="8">
        <v>2</v>
      </c>
      <c r="G434" s="10"/>
      <c r="H434" s="4" t="s">
        <v>125</v>
      </c>
      <c r="I434" s="4" t="s">
        <v>40</v>
      </c>
      <c r="J434" s="4">
        <v>20</v>
      </c>
      <c r="K434" s="23">
        <v>30</v>
      </c>
      <c r="L434">
        <f>IF(Invoices[[#This Row],[Document Type]]="Return",Invoices[[#This Row],[Unit Price]]*-1,Invoices[[#This Row],[Unit Price]])</f>
        <v>30</v>
      </c>
      <c r="M434" t="str">
        <f>IF(Invoices[[#This Row],[New Unit Price]]&lt;0,"Return",
IF(Invoices[[#This Row],[New Unit Price]]=0,"Free",IF(Invoices[[#This Row],[New Unit Price]]&lt;100,"Basic","Premium")))</f>
        <v>Basic</v>
      </c>
      <c r="N434">
        <f>VLOOKUP(Invoices[[#This Row],[Part  '#]],Products[],4,0)</f>
        <v>6.9</v>
      </c>
      <c r="O434" t="str">
        <f>VLOOKUP(Invoices[[#This Row],[Customer Account]],Customers[],4,0)</f>
        <v>Financial</v>
      </c>
      <c r="P434" t="str">
        <f>VLOOKUP(Invoices[[#This Row],[Customer Account]],Customers[],3,0)</f>
        <v>Georgia</v>
      </c>
      <c r="Q434" t="str">
        <f>VLOOKUP(Invoices[[#This Row],[Part  '#]],Products[],3,0)</f>
        <v>Consumables</v>
      </c>
      <c r="R434" s="25">
        <f>Invoices[[#This Row],[Quantity]]*Invoices[[#This Row],[Unit Cost]]</f>
        <v>138</v>
      </c>
      <c r="S434" s="25">
        <f>Invoices[[#This Row],[Quantity]]*Invoices[[#This Row],[New Unit Price]]</f>
        <v>600</v>
      </c>
      <c r="T434" s="25">
        <f>Invoices[[#This Row],[Revenue]]-Invoices[[#This Row],[Cost]]</f>
        <v>462</v>
      </c>
      <c r="U434" s="25" t="str">
        <f>TEXT(Invoices[[#This Row],[Date]],"MMM")</f>
        <v>Nov</v>
      </c>
      <c r="V434" s="29">
        <f>CHOOSE(MONTH(Invoices[[#This Row],[Date]]),1,1,1,2,2,2,3,3,3,4,4,4)</f>
        <v>4</v>
      </c>
      <c r="W434" s="30">
        <f>IFERROR(Invoices[[#This Row],[Profit]]/Invoices[[#This Row],[Revenue]],0)</f>
        <v>0.77</v>
      </c>
    </row>
    <row r="435" spans="1:23" x14ac:dyDescent="0.3">
      <c r="A435" s="19" t="s">
        <v>5</v>
      </c>
      <c r="B435" s="9">
        <v>22950</v>
      </c>
      <c r="C435" s="15">
        <v>41590</v>
      </c>
      <c r="D435" s="9">
        <v>111</v>
      </c>
      <c r="E435" s="10" t="s">
        <v>77</v>
      </c>
      <c r="F435" s="8">
        <v>1</v>
      </c>
      <c r="G435" s="10"/>
      <c r="H435" s="4" t="s">
        <v>133</v>
      </c>
      <c r="I435" s="4" t="s">
        <v>50</v>
      </c>
      <c r="J435" s="4">
        <v>25</v>
      </c>
      <c r="K435" s="23">
        <v>40</v>
      </c>
      <c r="L435">
        <f>IF(Invoices[[#This Row],[Document Type]]="Return",Invoices[[#This Row],[Unit Price]]*-1,Invoices[[#This Row],[Unit Price]])</f>
        <v>40</v>
      </c>
      <c r="M435" t="str">
        <f>IF(Invoices[[#This Row],[New Unit Price]]&lt;0,"Return",
IF(Invoices[[#This Row],[New Unit Price]]=0,"Free",IF(Invoices[[#This Row],[New Unit Price]]&lt;100,"Basic","Premium")))</f>
        <v>Basic</v>
      </c>
      <c r="N435">
        <f>VLOOKUP(Invoices[[#This Row],[Part  '#]],Products[],4,0)</f>
        <v>5.4</v>
      </c>
      <c r="O435" t="str">
        <f>VLOOKUP(Invoices[[#This Row],[Customer Account]],Customers[],4,0)</f>
        <v>Automotive</v>
      </c>
      <c r="P435" t="str">
        <f>VLOOKUP(Invoices[[#This Row],[Customer Account]],Customers[],3,0)</f>
        <v>Alabama</v>
      </c>
      <c r="Q435" t="str">
        <f>VLOOKUP(Invoices[[#This Row],[Part  '#]],Products[],3,0)</f>
        <v>Consumables</v>
      </c>
      <c r="R435" s="25">
        <f>Invoices[[#This Row],[Quantity]]*Invoices[[#This Row],[Unit Cost]]</f>
        <v>135</v>
      </c>
      <c r="S435" s="25">
        <f>Invoices[[#This Row],[Quantity]]*Invoices[[#This Row],[New Unit Price]]</f>
        <v>1000</v>
      </c>
      <c r="T435" s="25">
        <f>Invoices[[#This Row],[Revenue]]-Invoices[[#This Row],[Cost]]</f>
        <v>865</v>
      </c>
      <c r="U435" s="25" t="str">
        <f>TEXT(Invoices[[#This Row],[Date]],"MMM")</f>
        <v>Nov</v>
      </c>
      <c r="V435" s="29">
        <f>CHOOSE(MONTH(Invoices[[#This Row],[Date]]),1,1,1,2,2,2,3,3,3,4,4,4)</f>
        <v>4</v>
      </c>
      <c r="W435" s="30">
        <f>IFERROR(Invoices[[#This Row],[Profit]]/Invoices[[#This Row],[Revenue]],0)</f>
        <v>0.86499999999999999</v>
      </c>
    </row>
    <row r="436" spans="1:23" x14ac:dyDescent="0.3">
      <c r="A436" s="19" t="s">
        <v>5</v>
      </c>
      <c r="B436" s="9">
        <v>22950</v>
      </c>
      <c r="C436" s="15">
        <v>41590</v>
      </c>
      <c r="D436" s="9">
        <v>111</v>
      </c>
      <c r="E436" s="10" t="s">
        <v>77</v>
      </c>
      <c r="F436" s="8">
        <v>2</v>
      </c>
      <c r="G436" s="10"/>
      <c r="H436" s="4" t="s">
        <v>134</v>
      </c>
      <c r="I436" s="4" t="s">
        <v>51</v>
      </c>
      <c r="J436" s="4">
        <v>25</v>
      </c>
      <c r="K436" s="23">
        <v>70</v>
      </c>
      <c r="L436">
        <f>IF(Invoices[[#This Row],[Document Type]]="Return",Invoices[[#This Row],[Unit Price]]*-1,Invoices[[#This Row],[Unit Price]])</f>
        <v>70</v>
      </c>
      <c r="M436" t="str">
        <f>IF(Invoices[[#This Row],[New Unit Price]]&lt;0,"Return",
IF(Invoices[[#This Row],[New Unit Price]]=0,"Free",IF(Invoices[[#This Row],[New Unit Price]]&lt;100,"Basic","Premium")))</f>
        <v>Basic</v>
      </c>
      <c r="N436">
        <f>VLOOKUP(Invoices[[#This Row],[Part  '#]],Products[],4,0)</f>
        <v>8.3699999999999992</v>
      </c>
      <c r="O436" t="str">
        <f>VLOOKUP(Invoices[[#This Row],[Customer Account]],Customers[],4,0)</f>
        <v>Automotive</v>
      </c>
      <c r="P436" t="str">
        <f>VLOOKUP(Invoices[[#This Row],[Customer Account]],Customers[],3,0)</f>
        <v>Alabama</v>
      </c>
      <c r="Q436" t="str">
        <f>VLOOKUP(Invoices[[#This Row],[Part  '#]],Products[],3,0)</f>
        <v>Consumables</v>
      </c>
      <c r="R436" s="25">
        <f>Invoices[[#This Row],[Quantity]]*Invoices[[#This Row],[Unit Cost]]</f>
        <v>209.24999999999997</v>
      </c>
      <c r="S436" s="25">
        <f>Invoices[[#This Row],[Quantity]]*Invoices[[#This Row],[New Unit Price]]</f>
        <v>1750</v>
      </c>
      <c r="T436" s="25">
        <f>Invoices[[#This Row],[Revenue]]-Invoices[[#This Row],[Cost]]</f>
        <v>1540.75</v>
      </c>
      <c r="U436" s="25" t="str">
        <f>TEXT(Invoices[[#This Row],[Date]],"MMM")</f>
        <v>Nov</v>
      </c>
      <c r="V436" s="29">
        <f>CHOOSE(MONTH(Invoices[[#This Row],[Date]]),1,1,1,2,2,2,3,3,3,4,4,4)</f>
        <v>4</v>
      </c>
      <c r="W436" s="30">
        <f>IFERROR(Invoices[[#This Row],[Profit]]/Invoices[[#This Row],[Revenue]],0)</f>
        <v>0.88042857142857145</v>
      </c>
    </row>
    <row r="437" spans="1:23" x14ac:dyDescent="0.3">
      <c r="A437" s="19" t="s">
        <v>5</v>
      </c>
      <c r="B437" s="9">
        <v>22951</v>
      </c>
      <c r="C437" s="15">
        <v>41593</v>
      </c>
      <c r="D437" s="9">
        <v>103</v>
      </c>
      <c r="E437" s="10" t="s">
        <v>71</v>
      </c>
      <c r="F437" s="8">
        <v>1</v>
      </c>
      <c r="G437" s="10"/>
      <c r="H437" s="4" t="s">
        <v>132</v>
      </c>
      <c r="I437" s="4" t="s">
        <v>49</v>
      </c>
      <c r="J437" s="4">
        <v>4</v>
      </c>
      <c r="K437" s="23">
        <v>70</v>
      </c>
      <c r="L437">
        <f>IF(Invoices[[#This Row],[Document Type]]="Return",Invoices[[#This Row],[Unit Price]]*-1,Invoices[[#This Row],[Unit Price]])</f>
        <v>70</v>
      </c>
      <c r="M437" t="str">
        <f>IF(Invoices[[#This Row],[New Unit Price]]&lt;0,"Return",
IF(Invoices[[#This Row],[New Unit Price]]=0,"Free",IF(Invoices[[#This Row],[New Unit Price]]&lt;100,"Basic","Premium")))</f>
        <v>Basic</v>
      </c>
      <c r="N437">
        <f>VLOOKUP(Invoices[[#This Row],[Part  '#]],Products[],4,0)</f>
        <v>13.92</v>
      </c>
      <c r="O437" t="str">
        <f>VLOOKUP(Invoices[[#This Row],[Customer Account]],Customers[],4,0)</f>
        <v>Financial</v>
      </c>
      <c r="P437" t="str">
        <f>VLOOKUP(Invoices[[#This Row],[Customer Account]],Customers[],3,0)</f>
        <v>Florida</v>
      </c>
      <c r="Q437" t="str">
        <f>VLOOKUP(Invoices[[#This Row],[Part  '#]],Products[],3,0)</f>
        <v>Consumables</v>
      </c>
      <c r="R437" s="25">
        <f>Invoices[[#This Row],[Quantity]]*Invoices[[#This Row],[Unit Cost]]</f>
        <v>55.68</v>
      </c>
      <c r="S437" s="25">
        <f>Invoices[[#This Row],[Quantity]]*Invoices[[#This Row],[New Unit Price]]</f>
        <v>280</v>
      </c>
      <c r="T437" s="25">
        <f>Invoices[[#This Row],[Revenue]]-Invoices[[#This Row],[Cost]]</f>
        <v>224.32</v>
      </c>
      <c r="U437" s="25" t="str">
        <f>TEXT(Invoices[[#This Row],[Date]],"MMM")</f>
        <v>Nov</v>
      </c>
      <c r="V437" s="29">
        <f>CHOOSE(MONTH(Invoices[[#This Row],[Date]]),1,1,1,2,2,2,3,3,3,4,4,4)</f>
        <v>4</v>
      </c>
      <c r="W437" s="30">
        <f>IFERROR(Invoices[[#This Row],[Profit]]/Invoices[[#This Row],[Revenue]],0)</f>
        <v>0.80114285714285716</v>
      </c>
    </row>
    <row r="438" spans="1:23" x14ac:dyDescent="0.3">
      <c r="A438" s="19" t="s">
        <v>5</v>
      </c>
      <c r="B438" s="9">
        <v>22951</v>
      </c>
      <c r="C438" s="15">
        <v>41593</v>
      </c>
      <c r="D438" s="9">
        <v>103</v>
      </c>
      <c r="E438" s="10" t="s">
        <v>71</v>
      </c>
      <c r="F438" s="8">
        <v>2</v>
      </c>
      <c r="G438" s="10"/>
      <c r="H438" s="4" t="s">
        <v>125</v>
      </c>
      <c r="I438" s="4" t="s">
        <v>40</v>
      </c>
      <c r="J438" s="4">
        <v>4</v>
      </c>
      <c r="K438" s="23">
        <v>30</v>
      </c>
      <c r="L438">
        <f>IF(Invoices[[#This Row],[Document Type]]="Return",Invoices[[#This Row],[Unit Price]]*-1,Invoices[[#This Row],[Unit Price]])</f>
        <v>30</v>
      </c>
      <c r="M438" t="str">
        <f>IF(Invoices[[#This Row],[New Unit Price]]&lt;0,"Return",
IF(Invoices[[#This Row],[New Unit Price]]=0,"Free",IF(Invoices[[#This Row],[New Unit Price]]&lt;100,"Basic","Premium")))</f>
        <v>Basic</v>
      </c>
      <c r="N438">
        <f>VLOOKUP(Invoices[[#This Row],[Part  '#]],Products[],4,0)</f>
        <v>6.9</v>
      </c>
      <c r="O438" t="str">
        <f>VLOOKUP(Invoices[[#This Row],[Customer Account]],Customers[],4,0)</f>
        <v>Financial</v>
      </c>
      <c r="P438" t="str">
        <f>VLOOKUP(Invoices[[#This Row],[Customer Account]],Customers[],3,0)</f>
        <v>Florida</v>
      </c>
      <c r="Q438" t="str">
        <f>VLOOKUP(Invoices[[#This Row],[Part  '#]],Products[],3,0)</f>
        <v>Consumables</v>
      </c>
      <c r="R438" s="25">
        <f>Invoices[[#This Row],[Quantity]]*Invoices[[#This Row],[Unit Cost]]</f>
        <v>27.6</v>
      </c>
      <c r="S438" s="25">
        <f>Invoices[[#This Row],[Quantity]]*Invoices[[#This Row],[New Unit Price]]</f>
        <v>120</v>
      </c>
      <c r="T438" s="25">
        <f>Invoices[[#This Row],[Revenue]]-Invoices[[#This Row],[Cost]]</f>
        <v>92.4</v>
      </c>
      <c r="U438" s="25" t="str">
        <f>TEXT(Invoices[[#This Row],[Date]],"MMM")</f>
        <v>Nov</v>
      </c>
      <c r="V438" s="29">
        <f>CHOOSE(MONTH(Invoices[[#This Row],[Date]]),1,1,1,2,2,2,3,3,3,4,4,4)</f>
        <v>4</v>
      </c>
      <c r="W438" s="30">
        <f>IFERROR(Invoices[[#This Row],[Profit]]/Invoices[[#This Row],[Revenue]],0)</f>
        <v>0.77</v>
      </c>
    </row>
    <row r="439" spans="1:23" x14ac:dyDescent="0.3">
      <c r="A439" s="19" t="s">
        <v>5</v>
      </c>
      <c r="B439" s="9">
        <v>22952</v>
      </c>
      <c r="C439" s="15">
        <v>41593</v>
      </c>
      <c r="D439" s="9">
        <v>110</v>
      </c>
      <c r="E439" s="10" t="s">
        <v>75</v>
      </c>
      <c r="F439" s="8">
        <v>1</v>
      </c>
      <c r="G439" s="10"/>
      <c r="H439" s="4" t="s">
        <v>135</v>
      </c>
      <c r="I439" s="4" t="s">
        <v>52</v>
      </c>
      <c r="J439" s="4">
        <v>10</v>
      </c>
      <c r="K439" s="23">
        <v>100</v>
      </c>
      <c r="L439">
        <f>IF(Invoices[[#This Row],[Document Type]]="Return",Invoices[[#This Row],[Unit Price]]*-1,Invoices[[#This Row],[Unit Price]])</f>
        <v>100</v>
      </c>
      <c r="M439" t="str">
        <f>IF(Invoices[[#This Row],[New Unit Price]]&lt;0,"Return",
IF(Invoices[[#This Row],[New Unit Price]]=0,"Free",IF(Invoices[[#This Row],[New Unit Price]]&lt;100,"Basic","Premium")))</f>
        <v>Premium</v>
      </c>
      <c r="N439">
        <f>VLOOKUP(Invoices[[#This Row],[Part  '#]],Products[],4,0)</f>
        <v>27.17</v>
      </c>
      <c r="O439" t="str">
        <f>VLOOKUP(Invoices[[#This Row],[Customer Account]],Customers[],4,0)</f>
        <v>Automotive</v>
      </c>
      <c r="P439" t="str">
        <f>VLOOKUP(Invoices[[#This Row],[Customer Account]],Customers[],3,0)</f>
        <v>Alabama</v>
      </c>
      <c r="Q439" t="str">
        <f>VLOOKUP(Invoices[[#This Row],[Part  '#]],Products[],3,0)</f>
        <v>Consumables</v>
      </c>
      <c r="R439" s="25">
        <f>Invoices[[#This Row],[Quantity]]*Invoices[[#This Row],[Unit Cost]]</f>
        <v>271.70000000000005</v>
      </c>
      <c r="S439" s="25">
        <f>Invoices[[#This Row],[Quantity]]*Invoices[[#This Row],[New Unit Price]]</f>
        <v>1000</v>
      </c>
      <c r="T439" s="25">
        <f>Invoices[[#This Row],[Revenue]]-Invoices[[#This Row],[Cost]]</f>
        <v>728.3</v>
      </c>
      <c r="U439" s="25" t="str">
        <f>TEXT(Invoices[[#This Row],[Date]],"MMM")</f>
        <v>Nov</v>
      </c>
      <c r="V439" s="29">
        <f>CHOOSE(MONTH(Invoices[[#This Row],[Date]]),1,1,1,2,2,2,3,3,3,4,4,4)</f>
        <v>4</v>
      </c>
      <c r="W439" s="30">
        <f>IFERROR(Invoices[[#This Row],[Profit]]/Invoices[[#This Row],[Revenue]],0)</f>
        <v>0.72829999999999995</v>
      </c>
    </row>
    <row r="440" spans="1:23" x14ac:dyDescent="0.3">
      <c r="A440" s="19" t="s">
        <v>5</v>
      </c>
      <c r="B440" s="9">
        <v>22952</v>
      </c>
      <c r="C440" s="15">
        <v>41593</v>
      </c>
      <c r="D440" s="9">
        <v>110</v>
      </c>
      <c r="E440" s="10" t="s">
        <v>75</v>
      </c>
      <c r="F440" s="8">
        <v>2</v>
      </c>
      <c r="G440" s="10"/>
      <c r="H440" s="4" t="s">
        <v>136</v>
      </c>
      <c r="I440" s="4" t="s">
        <v>53</v>
      </c>
      <c r="J440" s="4">
        <v>10</v>
      </c>
      <c r="K440" s="23">
        <v>140</v>
      </c>
      <c r="L440">
        <f>IF(Invoices[[#This Row],[Document Type]]="Return",Invoices[[#This Row],[Unit Price]]*-1,Invoices[[#This Row],[Unit Price]])</f>
        <v>140</v>
      </c>
      <c r="M440" t="str">
        <f>IF(Invoices[[#This Row],[New Unit Price]]&lt;0,"Return",
IF(Invoices[[#This Row],[New Unit Price]]=0,"Free",IF(Invoices[[#This Row],[New Unit Price]]&lt;100,"Basic","Premium")))</f>
        <v>Premium</v>
      </c>
      <c r="N440">
        <f>VLOOKUP(Invoices[[#This Row],[Part  '#]],Products[],4,0)</f>
        <v>34.299999999999997</v>
      </c>
      <c r="O440" t="str">
        <f>VLOOKUP(Invoices[[#This Row],[Customer Account]],Customers[],4,0)</f>
        <v>Automotive</v>
      </c>
      <c r="P440" t="str">
        <f>VLOOKUP(Invoices[[#This Row],[Customer Account]],Customers[],3,0)</f>
        <v>Alabama</v>
      </c>
      <c r="Q440" t="str">
        <f>VLOOKUP(Invoices[[#This Row],[Part  '#]],Products[],3,0)</f>
        <v>Consumables</v>
      </c>
      <c r="R440" s="25">
        <f>Invoices[[#This Row],[Quantity]]*Invoices[[#This Row],[Unit Cost]]</f>
        <v>343</v>
      </c>
      <c r="S440" s="25">
        <f>Invoices[[#This Row],[Quantity]]*Invoices[[#This Row],[New Unit Price]]</f>
        <v>1400</v>
      </c>
      <c r="T440" s="25">
        <f>Invoices[[#This Row],[Revenue]]-Invoices[[#This Row],[Cost]]</f>
        <v>1057</v>
      </c>
      <c r="U440" s="25" t="str">
        <f>TEXT(Invoices[[#This Row],[Date]],"MMM")</f>
        <v>Nov</v>
      </c>
      <c r="V440" s="29">
        <f>CHOOSE(MONTH(Invoices[[#This Row],[Date]]),1,1,1,2,2,2,3,3,3,4,4,4)</f>
        <v>4</v>
      </c>
      <c r="W440" s="30">
        <f>IFERROR(Invoices[[#This Row],[Profit]]/Invoices[[#This Row],[Revenue]],0)</f>
        <v>0.755</v>
      </c>
    </row>
    <row r="441" spans="1:23" x14ac:dyDescent="0.3">
      <c r="A441" s="19" t="s">
        <v>5</v>
      </c>
      <c r="B441" s="9">
        <v>22952</v>
      </c>
      <c r="C441" s="15">
        <v>41593</v>
      </c>
      <c r="D441" s="9">
        <v>110</v>
      </c>
      <c r="E441" s="10" t="s">
        <v>75</v>
      </c>
      <c r="F441" s="8">
        <v>3</v>
      </c>
      <c r="G441" s="10"/>
      <c r="H441" s="4" t="s">
        <v>131</v>
      </c>
      <c r="I441" s="4" t="s">
        <v>48</v>
      </c>
      <c r="J441" s="4">
        <v>24</v>
      </c>
      <c r="K441" s="23">
        <v>50</v>
      </c>
      <c r="L441">
        <f>IF(Invoices[[#This Row],[Document Type]]="Return",Invoices[[#This Row],[Unit Price]]*-1,Invoices[[#This Row],[Unit Price]])</f>
        <v>50</v>
      </c>
      <c r="M441" t="str">
        <f>IF(Invoices[[#This Row],[New Unit Price]]&lt;0,"Return",
IF(Invoices[[#This Row],[New Unit Price]]=0,"Free",IF(Invoices[[#This Row],[New Unit Price]]&lt;100,"Basic","Premium")))</f>
        <v>Basic</v>
      </c>
      <c r="N441">
        <f>VLOOKUP(Invoices[[#This Row],[Part  '#]],Products[],4,0)</f>
        <v>11.67</v>
      </c>
      <c r="O441" t="str">
        <f>VLOOKUP(Invoices[[#This Row],[Customer Account]],Customers[],4,0)</f>
        <v>Automotive</v>
      </c>
      <c r="P441" t="str">
        <f>VLOOKUP(Invoices[[#This Row],[Customer Account]],Customers[],3,0)</f>
        <v>Alabama</v>
      </c>
      <c r="Q441" t="str">
        <f>VLOOKUP(Invoices[[#This Row],[Part  '#]],Products[],3,0)</f>
        <v>Consumables</v>
      </c>
      <c r="R441" s="25">
        <f>Invoices[[#This Row],[Quantity]]*Invoices[[#This Row],[Unit Cost]]</f>
        <v>280.08</v>
      </c>
      <c r="S441" s="25">
        <f>Invoices[[#This Row],[Quantity]]*Invoices[[#This Row],[New Unit Price]]</f>
        <v>1200</v>
      </c>
      <c r="T441" s="25">
        <f>Invoices[[#This Row],[Revenue]]-Invoices[[#This Row],[Cost]]</f>
        <v>919.92000000000007</v>
      </c>
      <c r="U441" s="25" t="str">
        <f>TEXT(Invoices[[#This Row],[Date]],"MMM")</f>
        <v>Nov</v>
      </c>
      <c r="V441" s="29">
        <f>CHOOSE(MONTH(Invoices[[#This Row],[Date]]),1,1,1,2,2,2,3,3,3,4,4,4)</f>
        <v>4</v>
      </c>
      <c r="W441" s="30">
        <f>IFERROR(Invoices[[#This Row],[Profit]]/Invoices[[#This Row],[Revenue]],0)</f>
        <v>0.76660000000000006</v>
      </c>
    </row>
    <row r="442" spans="1:23" x14ac:dyDescent="0.3">
      <c r="A442" s="19" t="s">
        <v>5</v>
      </c>
      <c r="B442" s="9">
        <v>22952</v>
      </c>
      <c r="C442" s="15">
        <v>41593</v>
      </c>
      <c r="D442" s="9">
        <v>110</v>
      </c>
      <c r="E442" s="10" t="s">
        <v>75</v>
      </c>
      <c r="F442" s="8">
        <v>4</v>
      </c>
      <c r="G442" s="10"/>
      <c r="H442" s="4" t="s">
        <v>125</v>
      </c>
      <c r="I442" s="4" t="s">
        <v>40</v>
      </c>
      <c r="J442" s="4">
        <v>24</v>
      </c>
      <c r="K442" s="23">
        <v>30</v>
      </c>
      <c r="L442">
        <f>IF(Invoices[[#This Row],[Document Type]]="Return",Invoices[[#This Row],[Unit Price]]*-1,Invoices[[#This Row],[Unit Price]])</f>
        <v>30</v>
      </c>
      <c r="M442" t="str">
        <f>IF(Invoices[[#This Row],[New Unit Price]]&lt;0,"Return",
IF(Invoices[[#This Row],[New Unit Price]]=0,"Free",IF(Invoices[[#This Row],[New Unit Price]]&lt;100,"Basic","Premium")))</f>
        <v>Basic</v>
      </c>
      <c r="N442">
        <f>VLOOKUP(Invoices[[#This Row],[Part  '#]],Products[],4,0)</f>
        <v>6.9</v>
      </c>
      <c r="O442" t="str">
        <f>VLOOKUP(Invoices[[#This Row],[Customer Account]],Customers[],4,0)</f>
        <v>Automotive</v>
      </c>
      <c r="P442" t="str">
        <f>VLOOKUP(Invoices[[#This Row],[Customer Account]],Customers[],3,0)</f>
        <v>Alabama</v>
      </c>
      <c r="Q442" t="str">
        <f>VLOOKUP(Invoices[[#This Row],[Part  '#]],Products[],3,0)</f>
        <v>Consumables</v>
      </c>
      <c r="R442" s="25">
        <f>Invoices[[#This Row],[Quantity]]*Invoices[[#This Row],[Unit Cost]]</f>
        <v>165.60000000000002</v>
      </c>
      <c r="S442" s="25">
        <f>Invoices[[#This Row],[Quantity]]*Invoices[[#This Row],[New Unit Price]]</f>
        <v>720</v>
      </c>
      <c r="T442" s="25">
        <f>Invoices[[#This Row],[Revenue]]-Invoices[[#This Row],[Cost]]</f>
        <v>554.4</v>
      </c>
      <c r="U442" s="25" t="str">
        <f>TEXT(Invoices[[#This Row],[Date]],"MMM")</f>
        <v>Nov</v>
      </c>
      <c r="V442" s="29">
        <f>CHOOSE(MONTH(Invoices[[#This Row],[Date]]),1,1,1,2,2,2,3,3,3,4,4,4)</f>
        <v>4</v>
      </c>
      <c r="W442" s="30">
        <f>IFERROR(Invoices[[#This Row],[Profit]]/Invoices[[#This Row],[Revenue]],0)</f>
        <v>0.77</v>
      </c>
    </row>
    <row r="443" spans="1:23" x14ac:dyDescent="0.3">
      <c r="A443" s="19" t="s">
        <v>5</v>
      </c>
      <c r="B443" s="9">
        <v>22953</v>
      </c>
      <c r="C443" s="15">
        <v>41607</v>
      </c>
      <c r="D443" s="9">
        <v>111</v>
      </c>
      <c r="E443" s="10" t="s">
        <v>77</v>
      </c>
      <c r="F443" s="8">
        <v>1</v>
      </c>
      <c r="G443" s="10"/>
      <c r="H443" s="4" t="s">
        <v>133</v>
      </c>
      <c r="I443" s="4" t="s">
        <v>50</v>
      </c>
      <c r="J443" s="4">
        <v>25</v>
      </c>
      <c r="K443" s="23">
        <v>40</v>
      </c>
      <c r="L443">
        <f>IF(Invoices[[#This Row],[Document Type]]="Return",Invoices[[#This Row],[Unit Price]]*-1,Invoices[[#This Row],[Unit Price]])</f>
        <v>40</v>
      </c>
      <c r="M443" t="str">
        <f>IF(Invoices[[#This Row],[New Unit Price]]&lt;0,"Return",
IF(Invoices[[#This Row],[New Unit Price]]=0,"Free",IF(Invoices[[#This Row],[New Unit Price]]&lt;100,"Basic","Premium")))</f>
        <v>Basic</v>
      </c>
      <c r="N443">
        <f>VLOOKUP(Invoices[[#This Row],[Part  '#]],Products[],4,0)</f>
        <v>5.4</v>
      </c>
      <c r="O443" t="str">
        <f>VLOOKUP(Invoices[[#This Row],[Customer Account]],Customers[],4,0)</f>
        <v>Automotive</v>
      </c>
      <c r="P443" t="str">
        <f>VLOOKUP(Invoices[[#This Row],[Customer Account]],Customers[],3,0)</f>
        <v>Alabama</v>
      </c>
      <c r="Q443" t="str">
        <f>VLOOKUP(Invoices[[#This Row],[Part  '#]],Products[],3,0)</f>
        <v>Consumables</v>
      </c>
      <c r="R443" s="25">
        <f>Invoices[[#This Row],[Quantity]]*Invoices[[#This Row],[Unit Cost]]</f>
        <v>135</v>
      </c>
      <c r="S443" s="25">
        <f>Invoices[[#This Row],[Quantity]]*Invoices[[#This Row],[New Unit Price]]</f>
        <v>1000</v>
      </c>
      <c r="T443" s="25">
        <f>Invoices[[#This Row],[Revenue]]-Invoices[[#This Row],[Cost]]</f>
        <v>865</v>
      </c>
      <c r="U443" s="25" t="str">
        <f>TEXT(Invoices[[#This Row],[Date]],"MMM")</f>
        <v>Nov</v>
      </c>
      <c r="V443" s="29">
        <f>CHOOSE(MONTH(Invoices[[#This Row],[Date]]),1,1,1,2,2,2,3,3,3,4,4,4)</f>
        <v>4</v>
      </c>
      <c r="W443" s="30">
        <f>IFERROR(Invoices[[#This Row],[Profit]]/Invoices[[#This Row],[Revenue]],0)</f>
        <v>0.86499999999999999</v>
      </c>
    </row>
    <row r="444" spans="1:23" x14ac:dyDescent="0.3">
      <c r="A444" s="19" t="s">
        <v>5</v>
      </c>
      <c r="B444" s="9">
        <v>22953</v>
      </c>
      <c r="C444" s="15">
        <v>41607</v>
      </c>
      <c r="D444" s="9">
        <v>111</v>
      </c>
      <c r="E444" s="10" t="s">
        <v>77</v>
      </c>
      <c r="F444" s="8">
        <v>2</v>
      </c>
      <c r="G444" s="10"/>
      <c r="H444" s="4" t="s">
        <v>134</v>
      </c>
      <c r="I444" s="4" t="s">
        <v>51</v>
      </c>
      <c r="J444" s="4">
        <v>25</v>
      </c>
      <c r="K444" s="23">
        <v>70</v>
      </c>
      <c r="L444">
        <f>IF(Invoices[[#This Row],[Document Type]]="Return",Invoices[[#This Row],[Unit Price]]*-1,Invoices[[#This Row],[Unit Price]])</f>
        <v>70</v>
      </c>
      <c r="M444" t="str">
        <f>IF(Invoices[[#This Row],[New Unit Price]]&lt;0,"Return",
IF(Invoices[[#This Row],[New Unit Price]]=0,"Free",IF(Invoices[[#This Row],[New Unit Price]]&lt;100,"Basic","Premium")))</f>
        <v>Basic</v>
      </c>
      <c r="N444">
        <f>VLOOKUP(Invoices[[#This Row],[Part  '#]],Products[],4,0)</f>
        <v>8.3699999999999992</v>
      </c>
      <c r="O444" t="str">
        <f>VLOOKUP(Invoices[[#This Row],[Customer Account]],Customers[],4,0)</f>
        <v>Automotive</v>
      </c>
      <c r="P444" t="str">
        <f>VLOOKUP(Invoices[[#This Row],[Customer Account]],Customers[],3,0)</f>
        <v>Alabama</v>
      </c>
      <c r="Q444" t="str">
        <f>VLOOKUP(Invoices[[#This Row],[Part  '#]],Products[],3,0)</f>
        <v>Consumables</v>
      </c>
      <c r="R444" s="25">
        <f>Invoices[[#This Row],[Quantity]]*Invoices[[#This Row],[Unit Cost]]</f>
        <v>209.24999999999997</v>
      </c>
      <c r="S444" s="25">
        <f>Invoices[[#This Row],[Quantity]]*Invoices[[#This Row],[New Unit Price]]</f>
        <v>1750</v>
      </c>
      <c r="T444" s="25">
        <f>Invoices[[#This Row],[Revenue]]-Invoices[[#This Row],[Cost]]</f>
        <v>1540.75</v>
      </c>
      <c r="U444" s="25" t="str">
        <f>TEXT(Invoices[[#This Row],[Date]],"MMM")</f>
        <v>Nov</v>
      </c>
      <c r="V444" s="29">
        <f>CHOOSE(MONTH(Invoices[[#This Row],[Date]]),1,1,1,2,2,2,3,3,3,4,4,4)</f>
        <v>4</v>
      </c>
      <c r="W444" s="30">
        <f>IFERROR(Invoices[[#This Row],[Profit]]/Invoices[[#This Row],[Revenue]],0)</f>
        <v>0.88042857142857145</v>
      </c>
    </row>
    <row r="445" spans="1:23" x14ac:dyDescent="0.3">
      <c r="A445" s="19" t="s">
        <v>5</v>
      </c>
      <c r="B445" s="9">
        <v>22954</v>
      </c>
      <c r="C445" s="15">
        <v>41609</v>
      </c>
      <c r="D445" s="9">
        <v>101</v>
      </c>
      <c r="E445" s="10" t="s">
        <v>61</v>
      </c>
      <c r="F445" s="8">
        <v>1</v>
      </c>
      <c r="G445" s="10"/>
      <c r="H445" s="4" t="s">
        <v>125</v>
      </c>
      <c r="I445" s="4" t="s">
        <v>40</v>
      </c>
      <c r="J445" s="4">
        <v>250</v>
      </c>
      <c r="K445" s="23">
        <v>24</v>
      </c>
      <c r="L445">
        <f>IF(Invoices[[#This Row],[Document Type]]="Return",Invoices[[#This Row],[Unit Price]]*-1,Invoices[[#This Row],[Unit Price]])</f>
        <v>24</v>
      </c>
      <c r="M445" t="str">
        <f>IF(Invoices[[#This Row],[New Unit Price]]&lt;0,"Return",
IF(Invoices[[#This Row],[New Unit Price]]=0,"Free",IF(Invoices[[#This Row],[New Unit Price]]&lt;100,"Basic","Premium")))</f>
        <v>Basic</v>
      </c>
      <c r="N445">
        <f>VLOOKUP(Invoices[[#This Row],[Part  '#]],Products[],4,0)</f>
        <v>6.9</v>
      </c>
      <c r="O445" t="str">
        <f>VLOOKUP(Invoices[[#This Row],[Customer Account]],Customers[],4,0)</f>
        <v>Automotive</v>
      </c>
      <c r="P445" t="str">
        <f>VLOOKUP(Invoices[[#This Row],[Customer Account]],Customers[],3,0)</f>
        <v>Georgia</v>
      </c>
      <c r="Q445" t="str">
        <f>VLOOKUP(Invoices[[#This Row],[Part  '#]],Products[],3,0)</f>
        <v>Consumables</v>
      </c>
      <c r="R445" s="25">
        <f>Invoices[[#This Row],[Quantity]]*Invoices[[#This Row],[Unit Cost]]</f>
        <v>1725</v>
      </c>
      <c r="S445" s="25">
        <f>Invoices[[#This Row],[Quantity]]*Invoices[[#This Row],[New Unit Price]]</f>
        <v>6000</v>
      </c>
      <c r="T445" s="25">
        <f>Invoices[[#This Row],[Revenue]]-Invoices[[#This Row],[Cost]]</f>
        <v>4275</v>
      </c>
      <c r="U445" s="25" t="str">
        <f>TEXT(Invoices[[#This Row],[Date]],"MMM")</f>
        <v>Dec</v>
      </c>
      <c r="V445" s="29">
        <f>CHOOSE(MONTH(Invoices[[#This Row],[Date]]),1,1,1,2,2,2,3,3,3,4,4,4)</f>
        <v>4</v>
      </c>
      <c r="W445" s="30">
        <f>IFERROR(Invoices[[#This Row],[Profit]]/Invoices[[#This Row],[Revenue]],0)</f>
        <v>0.71250000000000002</v>
      </c>
    </row>
    <row r="446" spans="1:23" x14ac:dyDescent="0.3">
      <c r="A446" s="19" t="s">
        <v>5</v>
      </c>
      <c r="B446" s="9">
        <v>22954</v>
      </c>
      <c r="C446" s="15">
        <v>41609</v>
      </c>
      <c r="D446" s="9">
        <v>101</v>
      </c>
      <c r="E446" s="10" t="s">
        <v>61</v>
      </c>
      <c r="F446" s="8">
        <v>2</v>
      </c>
      <c r="G446" s="10"/>
      <c r="H446" s="4" t="s">
        <v>132</v>
      </c>
      <c r="I446" s="4" t="s">
        <v>49</v>
      </c>
      <c r="J446" s="4">
        <v>25</v>
      </c>
      <c r="K446" s="23">
        <v>70</v>
      </c>
      <c r="L446">
        <f>IF(Invoices[[#This Row],[Document Type]]="Return",Invoices[[#This Row],[Unit Price]]*-1,Invoices[[#This Row],[Unit Price]])</f>
        <v>70</v>
      </c>
      <c r="M446" t="str">
        <f>IF(Invoices[[#This Row],[New Unit Price]]&lt;0,"Return",
IF(Invoices[[#This Row],[New Unit Price]]=0,"Free",IF(Invoices[[#This Row],[New Unit Price]]&lt;100,"Basic","Premium")))</f>
        <v>Basic</v>
      </c>
      <c r="N446">
        <f>VLOOKUP(Invoices[[#This Row],[Part  '#]],Products[],4,0)</f>
        <v>13.92</v>
      </c>
      <c r="O446" t="str">
        <f>VLOOKUP(Invoices[[#This Row],[Customer Account]],Customers[],4,0)</f>
        <v>Automotive</v>
      </c>
      <c r="P446" t="str">
        <f>VLOOKUP(Invoices[[#This Row],[Customer Account]],Customers[],3,0)</f>
        <v>Georgia</v>
      </c>
      <c r="Q446" t="str">
        <f>VLOOKUP(Invoices[[#This Row],[Part  '#]],Products[],3,0)</f>
        <v>Consumables</v>
      </c>
      <c r="R446" s="25">
        <f>Invoices[[#This Row],[Quantity]]*Invoices[[#This Row],[Unit Cost]]</f>
        <v>348</v>
      </c>
      <c r="S446" s="25">
        <f>Invoices[[#This Row],[Quantity]]*Invoices[[#This Row],[New Unit Price]]</f>
        <v>1750</v>
      </c>
      <c r="T446" s="25">
        <f>Invoices[[#This Row],[Revenue]]-Invoices[[#This Row],[Cost]]</f>
        <v>1402</v>
      </c>
      <c r="U446" s="25" t="str">
        <f>TEXT(Invoices[[#This Row],[Date]],"MMM")</f>
        <v>Dec</v>
      </c>
      <c r="V446" s="29">
        <f>CHOOSE(MONTH(Invoices[[#This Row],[Date]]),1,1,1,2,2,2,3,3,3,4,4,4)</f>
        <v>4</v>
      </c>
      <c r="W446" s="30">
        <f>IFERROR(Invoices[[#This Row],[Profit]]/Invoices[[#This Row],[Revenue]],0)</f>
        <v>0.80114285714285716</v>
      </c>
    </row>
    <row r="447" spans="1:23" x14ac:dyDescent="0.3">
      <c r="A447" s="19" t="s">
        <v>5</v>
      </c>
      <c r="B447" s="9">
        <v>22954</v>
      </c>
      <c r="C447" s="15">
        <v>41609</v>
      </c>
      <c r="D447" s="9">
        <v>101</v>
      </c>
      <c r="E447" s="10" t="s">
        <v>61</v>
      </c>
      <c r="F447" s="8">
        <v>3</v>
      </c>
      <c r="G447" s="10"/>
      <c r="H447" s="4" t="s">
        <v>121</v>
      </c>
      <c r="I447" s="4" t="s">
        <v>55</v>
      </c>
      <c r="J447" s="4">
        <v>2</v>
      </c>
      <c r="K447" s="23">
        <v>250</v>
      </c>
      <c r="L447">
        <f>IF(Invoices[[#This Row],[Document Type]]="Return",Invoices[[#This Row],[Unit Price]]*-1,Invoices[[#This Row],[Unit Price]])</f>
        <v>250</v>
      </c>
      <c r="M447" t="str">
        <f>IF(Invoices[[#This Row],[New Unit Price]]&lt;0,"Return",
IF(Invoices[[#This Row],[New Unit Price]]=0,"Free",IF(Invoices[[#This Row],[New Unit Price]]&lt;100,"Basic","Premium")))</f>
        <v>Premium</v>
      </c>
      <c r="N447">
        <f>VLOOKUP(Invoices[[#This Row],[Part  '#]],Products[],4,0)</f>
        <v>93.81</v>
      </c>
      <c r="O447" t="str">
        <f>VLOOKUP(Invoices[[#This Row],[Customer Account]],Customers[],4,0)</f>
        <v>Automotive</v>
      </c>
      <c r="P447" t="str">
        <f>VLOOKUP(Invoices[[#This Row],[Customer Account]],Customers[],3,0)</f>
        <v>Georgia</v>
      </c>
      <c r="Q447" t="str">
        <f>VLOOKUP(Invoices[[#This Row],[Part  '#]],Products[],3,0)</f>
        <v>Accessories</v>
      </c>
      <c r="R447" s="25">
        <f>Invoices[[#This Row],[Quantity]]*Invoices[[#This Row],[Unit Cost]]</f>
        <v>187.62</v>
      </c>
      <c r="S447" s="25">
        <f>Invoices[[#This Row],[Quantity]]*Invoices[[#This Row],[New Unit Price]]</f>
        <v>500</v>
      </c>
      <c r="T447" s="25">
        <f>Invoices[[#This Row],[Revenue]]-Invoices[[#This Row],[Cost]]</f>
        <v>312.38</v>
      </c>
      <c r="U447" s="25" t="str">
        <f>TEXT(Invoices[[#This Row],[Date]],"MMM")</f>
        <v>Dec</v>
      </c>
      <c r="V447" s="29">
        <f>CHOOSE(MONTH(Invoices[[#This Row],[Date]]),1,1,1,2,2,2,3,3,3,4,4,4)</f>
        <v>4</v>
      </c>
      <c r="W447" s="30">
        <f>IFERROR(Invoices[[#This Row],[Profit]]/Invoices[[#This Row],[Revenue]],0)</f>
        <v>0.62475999999999998</v>
      </c>
    </row>
    <row r="448" spans="1:23" x14ac:dyDescent="0.3">
      <c r="A448" s="19" t="s">
        <v>5</v>
      </c>
      <c r="B448" s="9">
        <v>22954</v>
      </c>
      <c r="C448" s="15">
        <v>41609</v>
      </c>
      <c r="D448" s="9">
        <v>101</v>
      </c>
      <c r="E448" s="10" t="s">
        <v>61</v>
      </c>
      <c r="F448" s="8">
        <v>4</v>
      </c>
      <c r="G448" s="10"/>
      <c r="H448" s="4" t="s">
        <v>127</v>
      </c>
      <c r="I448" s="4" t="s">
        <v>44</v>
      </c>
      <c r="J448" s="4">
        <v>100</v>
      </c>
      <c r="K448" s="23">
        <v>12</v>
      </c>
      <c r="L448">
        <f>IF(Invoices[[#This Row],[Document Type]]="Return",Invoices[[#This Row],[Unit Price]]*-1,Invoices[[#This Row],[Unit Price]])</f>
        <v>12</v>
      </c>
      <c r="M448" t="str">
        <f>IF(Invoices[[#This Row],[New Unit Price]]&lt;0,"Return",
IF(Invoices[[#This Row],[New Unit Price]]=0,"Free",IF(Invoices[[#This Row],[New Unit Price]]&lt;100,"Basic","Premium")))</f>
        <v>Basic</v>
      </c>
      <c r="N448">
        <f>VLOOKUP(Invoices[[#This Row],[Part  '#]],Products[],4,0)</f>
        <v>3.43</v>
      </c>
      <c r="O448" t="str">
        <f>VLOOKUP(Invoices[[#This Row],[Customer Account]],Customers[],4,0)</f>
        <v>Automotive</v>
      </c>
      <c r="P448" t="str">
        <f>VLOOKUP(Invoices[[#This Row],[Customer Account]],Customers[],3,0)</f>
        <v>Georgia</v>
      </c>
      <c r="Q448" t="str">
        <f>VLOOKUP(Invoices[[#This Row],[Part  '#]],Products[],3,0)</f>
        <v>Consumables</v>
      </c>
      <c r="R448" s="25">
        <f>Invoices[[#This Row],[Quantity]]*Invoices[[#This Row],[Unit Cost]]</f>
        <v>343</v>
      </c>
      <c r="S448" s="25">
        <f>Invoices[[#This Row],[Quantity]]*Invoices[[#This Row],[New Unit Price]]</f>
        <v>1200</v>
      </c>
      <c r="T448" s="25">
        <f>Invoices[[#This Row],[Revenue]]-Invoices[[#This Row],[Cost]]</f>
        <v>857</v>
      </c>
      <c r="U448" s="25" t="str">
        <f>TEXT(Invoices[[#This Row],[Date]],"MMM")</f>
        <v>Dec</v>
      </c>
      <c r="V448" s="29">
        <f>CHOOSE(MONTH(Invoices[[#This Row],[Date]]),1,1,1,2,2,2,3,3,3,4,4,4)</f>
        <v>4</v>
      </c>
      <c r="W448" s="30">
        <f>IFERROR(Invoices[[#This Row],[Profit]]/Invoices[[#This Row],[Revenue]],0)</f>
        <v>0.71416666666666662</v>
      </c>
    </row>
    <row r="449" spans="1:23" x14ac:dyDescent="0.3">
      <c r="A449" s="19" t="s">
        <v>5</v>
      </c>
      <c r="B449" s="9">
        <v>22954</v>
      </c>
      <c r="C449" s="15">
        <v>41609</v>
      </c>
      <c r="D449" s="9">
        <v>101</v>
      </c>
      <c r="E449" s="10" t="s">
        <v>61</v>
      </c>
      <c r="F449" s="8">
        <v>5</v>
      </c>
      <c r="G449" s="10"/>
      <c r="H449" s="4" t="s">
        <v>135</v>
      </c>
      <c r="I449" s="4" t="s">
        <v>52</v>
      </c>
      <c r="J449" s="4">
        <v>10</v>
      </c>
      <c r="K449" s="23">
        <v>100</v>
      </c>
      <c r="L449">
        <f>IF(Invoices[[#This Row],[Document Type]]="Return",Invoices[[#This Row],[Unit Price]]*-1,Invoices[[#This Row],[Unit Price]])</f>
        <v>100</v>
      </c>
      <c r="M449" t="str">
        <f>IF(Invoices[[#This Row],[New Unit Price]]&lt;0,"Return",
IF(Invoices[[#This Row],[New Unit Price]]=0,"Free",IF(Invoices[[#This Row],[New Unit Price]]&lt;100,"Basic","Premium")))</f>
        <v>Premium</v>
      </c>
      <c r="N449">
        <f>VLOOKUP(Invoices[[#This Row],[Part  '#]],Products[],4,0)</f>
        <v>27.17</v>
      </c>
      <c r="O449" t="str">
        <f>VLOOKUP(Invoices[[#This Row],[Customer Account]],Customers[],4,0)</f>
        <v>Automotive</v>
      </c>
      <c r="P449" t="str">
        <f>VLOOKUP(Invoices[[#This Row],[Customer Account]],Customers[],3,0)</f>
        <v>Georgia</v>
      </c>
      <c r="Q449" t="str">
        <f>VLOOKUP(Invoices[[#This Row],[Part  '#]],Products[],3,0)</f>
        <v>Consumables</v>
      </c>
      <c r="R449" s="25">
        <f>Invoices[[#This Row],[Quantity]]*Invoices[[#This Row],[Unit Cost]]</f>
        <v>271.70000000000005</v>
      </c>
      <c r="S449" s="25">
        <f>Invoices[[#This Row],[Quantity]]*Invoices[[#This Row],[New Unit Price]]</f>
        <v>1000</v>
      </c>
      <c r="T449" s="25">
        <f>Invoices[[#This Row],[Revenue]]-Invoices[[#This Row],[Cost]]</f>
        <v>728.3</v>
      </c>
      <c r="U449" s="25" t="str">
        <f>TEXT(Invoices[[#This Row],[Date]],"MMM")</f>
        <v>Dec</v>
      </c>
      <c r="V449" s="29">
        <f>CHOOSE(MONTH(Invoices[[#This Row],[Date]]),1,1,1,2,2,2,3,3,3,4,4,4)</f>
        <v>4</v>
      </c>
      <c r="W449" s="30">
        <f>IFERROR(Invoices[[#This Row],[Profit]]/Invoices[[#This Row],[Revenue]],0)</f>
        <v>0.72829999999999995</v>
      </c>
    </row>
    <row r="450" spans="1:23" x14ac:dyDescent="0.3">
      <c r="A450" s="19" t="s">
        <v>5</v>
      </c>
      <c r="B450" s="9">
        <v>22954</v>
      </c>
      <c r="C450" s="15">
        <v>41609</v>
      </c>
      <c r="D450" s="9">
        <v>101</v>
      </c>
      <c r="E450" s="10" t="s">
        <v>61</v>
      </c>
      <c r="F450" s="8">
        <v>6</v>
      </c>
      <c r="G450" s="10"/>
      <c r="H450" s="4" t="s">
        <v>136</v>
      </c>
      <c r="I450" s="4" t="s">
        <v>53</v>
      </c>
      <c r="J450" s="4">
        <v>10</v>
      </c>
      <c r="K450" s="23">
        <v>140</v>
      </c>
      <c r="L450">
        <f>IF(Invoices[[#This Row],[Document Type]]="Return",Invoices[[#This Row],[Unit Price]]*-1,Invoices[[#This Row],[Unit Price]])</f>
        <v>140</v>
      </c>
      <c r="M450" t="str">
        <f>IF(Invoices[[#This Row],[New Unit Price]]&lt;0,"Return",
IF(Invoices[[#This Row],[New Unit Price]]=0,"Free",IF(Invoices[[#This Row],[New Unit Price]]&lt;100,"Basic","Premium")))</f>
        <v>Premium</v>
      </c>
      <c r="N450">
        <f>VLOOKUP(Invoices[[#This Row],[Part  '#]],Products[],4,0)</f>
        <v>34.299999999999997</v>
      </c>
      <c r="O450" t="str">
        <f>VLOOKUP(Invoices[[#This Row],[Customer Account]],Customers[],4,0)</f>
        <v>Automotive</v>
      </c>
      <c r="P450" t="str">
        <f>VLOOKUP(Invoices[[#This Row],[Customer Account]],Customers[],3,0)</f>
        <v>Georgia</v>
      </c>
      <c r="Q450" t="str">
        <f>VLOOKUP(Invoices[[#This Row],[Part  '#]],Products[],3,0)</f>
        <v>Consumables</v>
      </c>
      <c r="R450" s="25">
        <f>Invoices[[#This Row],[Quantity]]*Invoices[[#This Row],[Unit Cost]]</f>
        <v>343</v>
      </c>
      <c r="S450" s="25">
        <f>Invoices[[#This Row],[Quantity]]*Invoices[[#This Row],[New Unit Price]]</f>
        <v>1400</v>
      </c>
      <c r="T450" s="25">
        <f>Invoices[[#This Row],[Revenue]]-Invoices[[#This Row],[Cost]]</f>
        <v>1057</v>
      </c>
      <c r="U450" s="25" t="str">
        <f>TEXT(Invoices[[#This Row],[Date]],"MMM")</f>
        <v>Dec</v>
      </c>
      <c r="V450" s="29">
        <f>CHOOSE(MONTH(Invoices[[#This Row],[Date]]),1,1,1,2,2,2,3,3,3,4,4,4)</f>
        <v>4</v>
      </c>
      <c r="W450" s="30">
        <f>IFERROR(Invoices[[#This Row],[Profit]]/Invoices[[#This Row],[Revenue]],0)</f>
        <v>0.755</v>
      </c>
    </row>
    <row r="451" spans="1:23" x14ac:dyDescent="0.3">
      <c r="A451" s="19" t="s">
        <v>5</v>
      </c>
      <c r="B451" s="9">
        <v>22955</v>
      </c>
      <c r="C451" s="15">
        <v>41609</v>
      </c>
      <c r="D451" s="9">
        <v>102</v>
      </c>
      <c r="E451" s="10" t="s">
        <v>63</v>
      </c>
      <c r="F451" s="8">
        <v>1</v>
      </c>
      <c r="G451" s="10"/>
      <c r="H451" s="4" t="s">
        <v>124</v>
      </c>
      <c r="I451" s="4" t="s">
        <v>39</v>
      </c>
      <c r="J451" s="4">
        <v>40</v>
      </c>
      <c r="K451" s="23">
        <v>35</v>
      </c>
      <c r="L451">
        <f>IF(Invoices[[#This Row],[Document Type]]="Return",Invoices[[#This Row],[Unit Price]]*-1,Invoices[[#This Row],[Unit Price]])</f>
        <v>35</v>
      </c>
      <c r="M451" t="str">
        <f>IF(Invoices[[#This Row],[New Unit Price]]&lt;0,"Return",
IF(Invoices[[#This Row],[New Unit Price]]=0,"Free",IF(Invoices[[#This Row],[New Unit Price]]&lt;100,"Basic","Premium")))</f>
        <v>Basic</v>
      </c>
      <c r="N451">
        <f>VLOOKUP(Invoices[[#This Row],[Part  '#]],Products[],4,0)</f>
        <v>6.37</v>
      </c>
      <c r="O451" t="str">
        <f>VLOOKUP(Invoices[[#This Row],[Customer Account]],Customers[],4,0)</f>
        <v>Automotive</v>
      </c>
      <c r="P451" t="str">
        <f>VLOOKUP(Invoices[[#This Row],[Customer Account]],Customers[],3,0)</f>
        <v>Georgia</v>
      </c>
      <c r="Q451" t="str">
        <f>VLOOKUP(Invoices[[#This Row],[Part  '#]],Products[],3,0)</f>
        <v>Consumables</v>
      </c>
      <c r="R451" s="25">
        <f>Invoices[[#This Row],[Quantity]]*Invoices[[#This Row],[Unit Cost]]</f>
        <v>254.8</v>
      </c>
      <c r="S451" s="25">
        <f>Invoices[[#This Row],[Quantity]]*Invoices[[#This Row],[New Unit Price]]</f>
        <v>1400</v>
      </c>
      <c r="T451" s="25">
        <f>Invoices[[#This Row],[Revenue]]-Invoices[[#This Row],[Cost]]</f>
        <v>1145.2</v>
      </c>
      <c r="U451" s="25" t="str">
        <f>TEXT(Invoices[[#This Row],[Date]],"MMM")</f>
        <v>Dec</v>
      </c>
      <c r="V451" s="29">
        <f>CHOOSE(MONTH(Invoices[[#This Row],[Date]]),1,1,1,2,2,2,3,3,3,4,4,4)</f>
        <v>4</v>
      </c>
      <c r="W451" s="30">
        <f>IFERROR(Invoices[[#This Row],[Profit]]/Invoices[[#This Row],[Revenue]],0)</f>
        <v>0.81800000000000006</v>
      </c>
    </row>
    <row r="452" spans="1:23" x14ac:dyDescent="0.3">
      <c r="A452" s="19" t="s">
        <v>5</v>
      </c>
      <c r="B452" s="9">
        <v>22955</v>
      </c>
      <c r="C452" s="15">
        <v>41609</v>
      </c>
      <c r="D452" s="9">
        <v>102</v>
      </c>
      <c r="E452" s="10" t="s">
        <v>63</v>
      </c>
      <c r="F452" s="8">
        <v>2</v>
      </c>
      <c r="G452" s="10"/>
      <c r="H452" s="4" t="s">
        <v>132</v>
      </c>
      <c r="I452" s="4" t="s">
        <v>49</v>
      </c>
      <c r="J452" s="4">
        <v>5</v>
      </c>
      <c r="K452" s="23">
        <v>70</v>
      </c>
      <c r="L452">
        <f>IF(Invoices[[#This Row],[Document Type]]="Return",Invoices[[#This Row],[Unit Price]]*-1,Invoices[[#This Row],[Unit Price]])</f>
        <v>70</v>
      </c>
      <c r="M452" t="str">
        <f>IF(Invoices[[#This Row],[New Unit Price]]&lt;0,"Return",
IF(Invoices[[#This Row],[New Unit Price]]=0,"Free",IF(Invoices[[#This Row],[New Unit Price]]&lt;100,"Basic","Premium")))</f>
        <v>Basic</v>
      </c>
      <c r="N452">
        <f>VLOOKUP(Invoices[[#This Row],[Part  '#]],Products[],4,0)</f>
        <v>13.92</v>
      </c>
      <c r="O452" t="str">
        <f>VLOOKUP(Invoices[[#This Row],[Customer Account]],Customers[],4,0)</f>
        <v>Automotive</v>
      </c>
      <c r="P452" t="str">
        <f>VLOOKUP(Invoices[[#This Row],[Customer Account]],Customers[],3,0)</f>
        <v>Georgia</v>
      </c>
      <c r="Q452" t="str">
        <f>VLOOKUP(Invoices[[#This Row],[Part  '#]],Products[],3,0)</f>
        <v>Consumables</v>
      </c>
      <c r="R452" s="25">
        <f>Invoices[[#This Row],[Quantity]]*Invoices[[#This Row],[Unit Cost]]</f>
        <v>69.599999999999994</v>
      </c>
      <c r="S452" s="25">
        <f>Invoices[[#This Row],[Quantity]]*Invoices[[#This Row],[New Unit Price]]</f>
        <v>350</v>
      </c>
      <c r="T452" s="25">
        <f>Invoices[[#This Row],[Revenue]]-Invoices[[#This Row],[Cost]]</f>
        <v>280.39999999999998</v>
      </c>
      <c r="U452" s="25" t="str">
        <f>TEXT(Invoices[[#This Row],[Date]],"MMM")</f>
        <v>Dec</v>
      </c>
      <c r="V452" s="29">
        <f>CHOOSE(MONTH(Invoices[[#This Row],[Date]]),1,1,1,2,2,2,3,3,3,4,4,4)</f>
        <v>4</v>
      </c>
      <c r="W452" s="30">
        <f>IFERROR(Invoices[[#This Row],[Profit]]/Invoices[[#This Row],[Revenue]],0)</f>
        <v>0.80114285714285705</v>
      </c>
    </row>
    <row r="453" spans="1:23" x14ac:dyDescent="0.3">
      <c r="A453" s="19" t="s">
        <v>5</v>
      </c>
      <c r="B453" s="9">
        <v>22955</v>
      </c>
      <c r="C453" s="15">
        <v>41609</v>
      </c>
      <c r="D453" s="9">
        <v>102</v>
      </c>
      <c r="E453" s="10" t="s">
        <v>63</v>
      </c>
      <c r="F453" s="8">
        <v>3</v>
      </c>
      <c r="G453" s="10"/>
      <c r="H453" s="4" t="s">
        <v>135</v>
      </c>
      <c r="I453" s="4" t="s">
        <v>52</v>
      </c>
      <c r="J453" s="4">
        <v>3</v>
      </c>
      <c r="K453" s="23">
        <v>100</v>
      </c>
      <c r="L453">
        <f>IF(Invoices[[#This Row],[Document Type]]="Return",Invoices[[#This Row],[Unit Price]]*-1,Invoices[[#This Row],[Unit Price]])</f>
        <v>100</v>
      </c>
      <c r="M453" t="str">
        <f>IF(Invoices[[#This Row],[New Unit Price]]&lt;0,"Return",
IF(Invoices[[#This Row],[New Unit Price]]=0,"Free",IF(Invoices[[#This Row],[New Unit Price]]&lt;100,"Basic","Premium")))</f>
        <v>Premium</v>
      </c>
      <c r="N453">
        <f>VLOOKUP(Invoices[[#This Row],[Part  '#]],Products[],4,0)</f>
        <v>27.17</v>
      </c>
      <c r="O453" t="str">
        <f>VLOOKUP(Invoices[[#This Row],[Customer Account]],Customers[],4,0)</f>
        <v>Automotive</v>
      </c>
      <c r="P453" t="str">
        <f>VLOOKUP(Invoices[[#This Row],[Customer Account]],Customers[],3,0)</f>
        <v>Georgia</v>
      </c>
      <c r="Q453" t="str">
        <f>VLOOKUP(Invoices[[#This Row],[Part  '#]],Products[],3,0)</f>
        <v>Consumables</v>
      </c>
      <c r="R453" s="25">
        <f>Invoices[[#This Row],[Quantity]]*Invoices[[#This Row],[Unit Cost]]</f>
        <v>81.510000000000005</v>
      </c>
      <c r="S453" s="25">
        <f>Invoices[[#This Row],[Quantity]]*Invoices[[#This Row],[New Unit Price]]</f>
        <v>300</v>
      </c>
      <c r="T453" s="25">
        <f>Invoices[[#This Row],[Revenue]]-Invoices[[#This Row],[Cost]]</f>
        <v>218.49</v>
      </c>
      <c r="U453" s="25" t="str">
        <f>TEXT(Invoices[[#This Row],[Date]],"MMM")</f>
        <v>Dec</v>
      </c>
      <c r="V453" s="29">
        <f>CHOOSE(MONTH(Invoices[[#This Row],[Date]]),1,1,1,2,2,2,3,3,3,4,4,4)</f>
        <v>4</v>
      </c>
      <c r="W453" s="30">
        <f>IFERROR(Invoices[[#This Row],[Profit]]/Invoices[[#This Row],[Revenue]],0)</f>
        <v>0.72830000000000006</v>
      </c>
    </row>
    <row r="454" spans="1:23" x14ac:dyDescent="0.3">
      <c r="A454" s="19" t="s">
        <v>5</v>
      </c>
      <c r="B454" s="9">
        <v>22955</v>
      </c>
      <c r="C454" s="15">
        <v>41609</v>
      </c>
      <c r="D454" s="9">
        <v>102</v>
      </c>
      <c r="E454" s="10" t="s">
        <v>63</v>
      </c>
      <c r="F454" s="8">
        <v>4</v>
      </c>
      <c r="G454" s="10"/>
      <c r="H454" s="4" t="s">
        <v>136</v>
      </c>
      <c r="I454" s="4" t="s">
        <v>53</v>
      </c>
      <c r="J454" s="4">
        <v>3</v>
      </c>
      <c r="K454" s="23">
        <v>140</v>
      </c>
      <c r="L454">
        <f>IF(Invoices[[#This Row],[Document Type]]="Return",Invoices[[#This Row],[Unit Price]]*-1,Invoices[[#This Row],[Unit Price]])</f>
        <v>140</v>
      </c>
      <c r="M454" t="str">
        <f>IF(Invoices[[#This Row],[New Unit Price]]&lt;0,"Return",
IF(Invoices[[#This Row],[New Unit Price]]=0,"Free",IF(Invoices[[#This Row],[New Unit Price]]&lt;100,"Basic","Premium")))</f>
        <v>Premium</v>
      </c>
      <c r="N454">
        <f>VLOOKUP(Invoices[[#This Row],[Part  '#]],Products[],4,0)</f>
        <v>34.299999999999997</v>
      </c>
      <c r="O454" t="str">
        <f>VLOOKUP(Invoices[[#This Row],[Customer Account]],Customers[],4,0)</f>
        <v>Automotive</v>
      </c>
      <c r="P454" t="str">
        <f>VLOOKUP(Invoices[[#This Row],[Customer Account]],Customers[],3,0)</f>
        <v>Georgia</v>
      </c>
      <c r="Q454" t="str">
        <f>VLOOKUP(Invoices[[#This Row],[Part  '#]],Products[],3,0)</f>
        <v>Consumables</v>
      </c>
      <c r="R454" s="25">
        <f>Invoices[[#This Row],[Quantity]]*Invoices[[#This Row],[Unit Cost]]</f>
        <v>102.89999999999999</v>
      </c>
      <c r="S454" s="25">
        <f>Invoices[[#This Row],[Quantity]]*Invoices[[#This Row],[New Unit Price]]</f>
        <v>420</v>
      </c>
      <c r="T454" s="25">
        <f>Invoices[[#This Row],[Revenue]]-Invoices[[#This Row],[Cost]]</f>
        <v>317.10000000000002</v>
      </c>
      <c r="U454" s="25" t="str">
        <f>TEXT(Invoices[[#This Row],[Date]],"MMM")</f>
        <v>Dec</v>
      </c>
      <c r="V454" s="29">
        <f>CHOOSE(MONTH(Invoices[[#This Row],[Date]]),1,1,1,2,2,2,3,3,3,4,4,4)</f>
        <v>4</v>
      </c>
      <c r="W454" s="30">
        <f>IFERROR(Invoices[[#This Row],[Profit]]/Invoices[[#This Row],[Revenue]],0)</f>
        <v>0.755</v>
      </c>
    </row>
    <row r="455" spans="1:23" x14ac:dyDescent="0.3">
      <c r="A455" s="19" t="s">
        <v>5</v>
      </c>
      <c r="B455" s="9">
        <v>22956</v>
      </c>
      <c r="C455" s="15">
        <v>41609</v>
      </c>
      <c r="D455" s="9">
        <v>103</v>
      </c>
      <c r="E455" s="10" t="s">
        <v>71</v>
      </c>
      <c r="F455" s="8">
        <v>1</v>
      </c>
      <c r="G455" s="10"/>
      <c r="H455" s="4" t="s">
        <v>97</v>
      </c>
      <c r="I455" s="4" t="s">
        <v>15</v>
      </c>
      <c r="J455" s="4">
        <v>1</v>
      </c>
      <c r="K455" s="23">
        <v>350</v>
      </c>
      <c r="L455">
        <f>IF(Invoices[[#This Row],[Document Type]]="Return",Invoices[[#This Row],[Unit Price]]*-1,Invoices[[#This Row],[Unit Price]])</f>
        <v>350</v>
      </c>
      <c r="M455" t="str">
        <f>IF(Invoices[[#This Row],[New Unit Price]]&lt;0,"Return",
IF(Invoices[[#This Row],[New Unit Price]]=0,"Free",IF(Invoices[[#This Row],[New Unit Price]]&lt;100,"Basic","Premium")))</f>
        <v>Premium</v>
      </c>
      <c r="N455">
        <f>VLOOKUP(Invoices[[#This Row],[Part  '#]],Products[],4,0)</f>
        <v>212.19</v>
      </c>
      <c r="O455" t="str">
        <f>VLOOKUP(Invoices[[#This Row],[Customer Account]],Customers[],4,0)</f>
        <v>Financial</v>
      </c>
      <c r="P455" t="str">
        <f>VLOOKUP(Invoices[[#This Row],[Customer Account]],Customers[],3,0)</f>
        <v>Florida</v>
      </c>
      <c r="Q455" t="str">
        <f>VLOOKUP(Invoices[[#This Row],[Part  '#]],Products[],3,0)</f>
        <v>Product</v>
      </c>
      <c r="R455" s="25">
        <f>Invoices[[#This Row],[Quantity]]*Invoices[[#This Row],[Unit Cost]]</f>
        <v>212.19</v>
      </c>
      <c r="S455" s="25">
        <f>Invoices[[#This Row],[Quantity]]*Invoices[[#This Row],[New Unit Price]]</f>
        <v>350</v>
      </c>
      <c r="T455" s="25">
        <f>Invoices[[#This Row],[Revenue]]-Invoices[[#This Row],[Cost]]</f>
        <v>137.81</v>
      </c>
      <c r="U455" s="25" t="str">
        <f>TEXT(Invoices[[#This Row],[Date]],"MMM")</f>
        <v>Dec</v>
      </c>
      <c r="V455" s="29">
        <f>CHOOSE(MONTH(Invoices[[#This Row],[Date]]),1,1,1,2,2,2,3,3,3,4,4,4)</f>
        <v>4</v>
      </c>
      <c r="W455" s="30">
        <f>IFERROR(Invoices[[#This Row],[Profit]]/Invoices[[#This Row],[Revenue]],0)</f>
        <v>0.39374285714285717</v>
      </c>
    </row>
    <row r="456" spans="1:23" x14ac:dyDescent="0.3">
      <c r="A456" s="19" t="s">
        <v>5</v>
      </c>
      <c r="B456" s="9">
        <v>22957</v>
      </c>
      <c r="C456" s="15">
        <v>41609</v>
      </c>
      <c r="D456" s="9">
        <v>105</v>
      </c>
      <c r="E456" s="10" t="s">
        <v>67</v>
      </c>
      <c r="F456" s="8">
        <v>1</v>
      </c>
      <c r="G456" s="10"/>
      <c r="H456" s="4" t="s">
        <v>125</v>
      </c>
      <c r="I456" s="4" t="s">
        <v>40</v>
      </c>
      <c r="J456" s="4">
        <v>120</v>
      </c>
      <c r="K456" s="23">
        <v>24</v>
      </c>
      <c r="L456">
        <f>IF(Invoices[[#This Row],[Document Type]]="Return",Invoices[[#This Row],[Unit Price]]*-1,Invoices[[#This Row],[Unit Price]])</f>
        <v>24</v>
      </c>
      <c r="M456" t="str">
        <f>IF(Invoices[[#This Row],[New Unit Price]]&lt;0,"Return",
IF(Invoices[[#This Row],[New Unit Price]]=0,"Free",IF(Invoices[[#This Row],[New Unit Price]]&lt;100,"Basic","Premium")))</f>
        <v>Basic</v>
      </c>
      <c r="N456">
        <f>VLOOKUP(Invoices[[#This Row],[Part  '#]],Products[],4,0)</f>
        <v>6.9</v>
      </c>
      <c r="O456" t="str">
        <f>VLOOKUP(Invoices[[#This Row],[Customer Account]],Customers[],4,0)</f>
        <v>Automotive</v>
      </c>
      <c r="P456" t="str">
        <f>VLOOKUP(Invoices[[#This Row],[Customer Account]],Customers[],3,0)</f>
        <v>South Carolina</v>
      </c>
      <c r="Q456" t="str">
        <f>VLOOKUP(Invoices[[#This Row],[Part  '#]],Products[],3,0)</f>
        <v>Consumables</v>
      </c>
      <c r="R456" s="25">
        <f>Invoices[[#This Row],[Quantity]]*Invoices[[#This Row],[Unit Cost]]</f>
        <v>828</v>
      </c>
      <c r="S456" s="25">
        <f>Invoices[[#This Row],[Quantity]]*Invoices[[#This Row],[New Unit Price]]</f>
        <v>2880</v>
      </c>
      <c r="T456" s="25">
        <f>Invoices[[#This Row],[Revenue]]-Invoices[[#This Row],[Cost]]</f>
        <v>2052</v>
      </c>
      <c r="U456" s="25" t="str">
        <f>TEXT(Invoices[[#This Row],[Date]],"MMM")</f>
        <v>Dec</v>
      </c>
      <c r="V456" s="29">
        <f>CHOOSE(MONTH(Invoices[[#This Row],[Date]]),1,1,1,2,2,2,3,3,3,4,4,4)</f>
        <v>4</v>
      </c>
      <c r="W456" s="30">
        <f>IFERROR(Invoices[[#This Row],[Profit]]/Invoices[[#This Row],[Revenue]],0)</f>
        <v>0.71250000000000002</v>
      </c>
    </row>
    <row r="457" spans="1:23" x14ac:dyDescent="0.3">
      <c r="A457" s="19" t="s">
        <v>5</v>
      </c>
      <c r="B457" s="9">
        <v>22957</v>
      </c>
      <c r="C457" s="15">
        <v>41609</v>
      </c>
      <c r="D457" s="9">
        <v>105</v>
      </c>
      <c r="E457" s="10" t="s">
        <v>67</v>
      </c>
      <c r="F457" s="8">
        <v>2</v>
      </c>
      <c r="G457" s="10"/>
      <c r="H457" s="4" t="s">
        <v>132</v>
      </c>
      <c r="I457" s="4" t="s">
        <v>49</v>
      </c>
      <c r="J457" s="4">
        <v>50</v>
      </c>
      <c r="K457" s="23">
        <v>70</v>
      </c>
      <c r="L457">
        <f>IF(Invoices[[#This Row],[Document Type]]="Return",Invoices[[#This Row],[Unit Price]]*-1,Invoices[[#This Row],[Unit Price]])</f>
        <v>70</v>
      </c>
      <c r="M457" t="str">
        <f>IF(Invoices[[#This Row],[New Unit Price]]&lt;0,"Return",
IF(Invoices[[#This Row],[New Unit Price]]=0,"Free",IF(Invoices[[#This Row],[New Unit Price]]&lt;100,"Basic","Premium")))</f>
        <v>Basic</v>
      </c>
      <c r="N457">
        <f>VLOOKUP(Invoices[[#This Row],[Part  '#]],Products[],4,0)</f>
        <v>13.92</v>
      </c>
      <c r="O457" t="str">
        <f>VLOOKUP(Invoices[[#This Row],[Customer Account]],Customers[],4,0)</f>
        <v>Automotive</v>
      </c>
      <c r="P457" t="str">
        <f>VLOOKUP(Invoices[[#This Row],[Customer Account]],Customers[],3,0)</f>
        <v>South Carolina</v>
      </c>
      <c r="Q457" t="str">
        <f>VLOOKUP(Invoices[[#This Row],[Part  '#]],Products[],3,0)</f>
        <v>Consumables</v>
      </c>
      <c r="R457" s="25">
        <f>Invoices[[#This Row],[Quantity]]*Invoices[[#This Row],[Unit Cost]]</f>
        <v>696</v>
      </c>
      <c r="S457" s="25">
        <f>Invoices[[#This Row],[Quantity]]*Invoices[[#This Row],[New Unit Price]]</f>
        <v>3500</v>
      </c>
      <c r="T457" s="25">
        <f>Invoices[[#This Row],[Revenue]]-Invoices[[#This Row],[Cost]]</f>
        <v>2804</v>
      </c>
      <c r="U457" s="25" t="str">
        <f>TEXT(Invoices[[#This Row],[Date]],"MMM")</f>
        <v>Dec</v>
      </c>
      <c r="V457" s="29">
        <f>CHOOSE(MONTH(Invoices[[#This Row],[Date]]),1,1,1,2,2,2,3,3,3,4,4,4)</f>
        <v>4</v>
      </c>
      <c r="W457" s="30">
        <f>IFERROR(Invoices[[#This Row],[Profit]]/Invoices[[#This Row],[Revenue]],0)</f>
        <v>0.80114285714285716</v>
      </c>
    </row>
    <row r="458" spans="1:23" x14ac:dyDescent="0.3">
      <c r="A458" s="19" t="s">
        <v>5</v>
      </c>
      <c r="B458" s="9">
        <v>22958</v>
      </c>
      <c r="C458" s="15">
        <v>41609</v>
      </c>
      <c r="D458" s="9">
        <v>106</v>
      </c>
      <c r="E458" s="10" t="s">
        <v>69</v>
      </c>
      <c r="F458" s="8">
        <v>1</v>
      </c>
      <c r="G458" s="10"/>
      <c r="H458" s="4" t="s">
        <v>123</v>
      </c>
      <c r="I458" s="4" t="s">
        <v>38</v>
      </c>
      <c r="J458" s="4">
        <v>80</v>
      </c>
      <c r="K458" s="23">
        <v>18</v>
      </c>
      <c r="L458">
        <f>IF(Invoices[[#This Row],[Document Type]]="Return",Invoices[[#This Row],[Unit Price]]*-1,Invoices[[#This Row],[Unit Price]])</f>
        <v>18</v>
      </c>
      <c r="M458" t="str">
        <f>IF(Invoices[[#This Row],[New Unit Price]]&lt;0,"Return",
IF(Invoices[[#This Row],[New Unit Price]]=0,"Free",IF(Invoices[[#This Row],[New Unit Price]]&lt;100,"Basic","Premium")))</f>
        <v>Basic</v>
      </c>
      <c r="N458">
        <f>VLOOKUP(Invoices[[#This Row],[Part  '#]],Products[],4,0)</f>
        <v>4.58</v>
      </c>
      <c r="O458" t="str">
        <f>VLOOKUP(Invoices[[#This Row],[Customer Account]],Customers[],4,0)</f>
        <v>Automotive</v>
      </c>
      <c r="P458" t="str">
        <f>VLOOKUP(Invoices[[#This Row],[Customer Account]],Customers[],3,0)</f>
        <v>Tennessee</v>
      </c>
      <c r="Q458" t="str">
        <f>VLOOKUP(Invoices[[#This Row],[Part  '#]],Products[],3,0)</f>
        <v>Consumables</v>
      </c>
      <c r="R458" s="25">
        <f>Invoices[[#This Row],[Quantity]]*Invoices[[#This Row],[Unit Cost]]</f>
        <v>366.4</v>
      </c>
      <c r="S458" s="25">
        <f>Invoices[[#This Row],[Quantity]]*Invoices[[#This Row],[New Unit Price]]</f>
        <v>1440</v>
      </c>
      <c r="T458" s="25">
        <f>Invoices[[#This Row],[Revenue]]-Invoices[[#This Row],[Cost]]</f>
        <v>1073.5999999999999</v>
      </c>
      <c r="U458" s="25" t="str">
        <f>TEXT(Invoices[[#This Row],[Date]],"MMM")</f>
        <v>Dec</v>
      </c>
      <c r="V458" s="29">
        <f>CHOOSE(MONTH(Invoices[[#This Row],[Date]]),1,1,1,2,2,2,3,3,3,4,4,4)</f>
        <v>4</v>
      </c>
      <c r="W458" s="30">
        <f>IFERROR(Invoices[[#This Row],[Profit]]/Invoices[[#This Row],[Revenue]],0)</f>
        <v>0.74555555555555553</v>
      </c>
    </row>
    <row r="459" spans="1:23" x14ac:dyDescent="0.3">
      <c r="A459" s="19" t="s">
        <v>5</v>
      </c>
      <c r="B459" s="9">
        <v>22958</v>
      </c>
      <c r="C459" s="15">
        <v>41609</v>
      </c>
      <c r="D459" s="9">
        <v>106</v>
      </c>
      <c r="E459" s="10" t="s">
        <v>69</v>
      </c>
      <c r="F459" s="8">
        <v>2</v>
      </c>
      <c r="G459" s="10"/>
      <c r="H459" s="4" t="s">
        <v>132</v>
      </c>
      <c r="I459" s="4" t="s">
        <v>49</v>
      </c>
      <c r="J459" s="4">
        <v>20</v>
      </c>
      <c r="K459" s="23">
        <v>70</v>
      </c>
      <c r="L459">
        <f>IF(Invoices[[#This Row],[Document Type]]="Return",Invoices[[#This Row],[Unit Price]]*-1,Invoices[[#This Row],[Unit Price]])</f>
        <v>70</v>
      </c>
      <c r="M459" t="str">
        <f>IF(Invoices[[#This Row],[New Unit Price]]&lt;0,"Return",
IF(Invoices[[#This Row],[New Unit Price]]=0,"Free",IF(Invoices[[#This Row],[New Unit Price]]&lt;100,"Basic","Premium")))</f>
        <v>Basic</v>
      </c>
      <c r="N459">
        <f>VLOOKUP(Invoices[[#This Row],[Part  '#]],Products[],4,0)</f>
        <v>13.92</v>
      </c>
      <c r="O459" t="str">
        <f>VLOOKUP(Invoices[[#This Row],[Customer Account]],Customers[],4,0)</f>
        <v>Automotive</v>
      </c>
      <c r="P459" t="str">
        <f>VLOOKUP(Invoices[[#This Row],[Customer Account]],Customers[],3,0)</f>
        <v>Tennessee</v>
      </c>
      <c r="Q459" t="str">
        <f>VLOOKUP(Invoices[[#This Row],[Part  '#]],Products[],3,0)</f>
        <v>Consumables</v>
      </c>
      <c r="R459" s="25">
        <f>Invoices[[#This Row],[Quantity]]*Invoices[[#This Row],[Unit Cost]]</f>
        <v>278.39999999999998</v>
      </c>
      <c r="S459" s="25">
        <f>Invoices[[#This Row],[Quantity]]*Invoices[[#This Row],[New Unit Price]]</f>
        <v>1400</v>
      </c>
      <c r="T459" s="25">
        <f>Invoices[[#This Row],[Revenue]]-Invoices[[#This Row],[Cost]]</f>
        <v>1121.5999999999999</v>
      </c>
      <c r="U459" s="25" t="str">
        <f>TEXT(Invoices[[#This Row],[Date]],"MMM")</f>
        <v>Dec</v>
      </c>
      <c r="V459" s="29">
        <f>CHOOSE(MONTH(Invoices[[#This Row],[Date]]),1,1,1,2,2,2,3,3,3,4,4,4)</f>
        <v>4</v>
      </c>
      <c r="W459" s="30">
        <f>IFERROR(Invoices[[#This Row],[Profit]]/Invoices[[#This Row],[Revenue]],0)</f>
        <v>0.80114285714285705</v>
      </c>
    </row>
    <row r="460" spans="1:23" x14ac:dyDescent="0.3">
      <c r="A460" s="19" t="s">
        <v>5</v>
      </c>
      <c r="B460" s="9">
        <v>22959</v>
      </c>
      <c r="C460" s="15">
        <v>41609</v>
      </c>
      <c r="D460" s="9">
        <v>107</v>
      </c>
      <c r="E460" s="10" t="s">
        <v>72</v>
      </c>
      <c r="F460" s="8">
        <v>1</v>
      </c>
      <c r="G460" s="10"/>
      <c r="H460" s="4" t="s">
        <v>125</v>
      </c>
      <c r="I460" s="4" t="s">
        <v>40</v>
      </c>
      <c r="J460" s="4">
        <v>10</v>
      </c>
      <c r="K460" s="23">
        <v>30</v>
      </c>
      <c r="L460">
        <f>IF(Invoices[[#This Row],[Document Type]]="Return",Invoices[[#This Row],[Unit Price]]*-1,Invoices[[#This Row],[Unit Price]])</f>
        <v>30</v>
      </c>
      <c r="M460" t="str">
        <f>IF(Invoices[[#This Row],[New Unit Price]]&lt;0,"Return",
IF(Invoices[[#This Row],[New Unit Price]]=0,"Free",IF(Invoices[[#This Row],[New Unit Price]]&lt;100,"Basic","Premium")))</f>
        <v>Basic</v>
      </c>
      <c r="N460">
        <f>VLOOKUP(Invoices[[#This Row],[Part  '#]],Products[],4,0)</f>
        <v>6.9</v>
      </c>
      <c r="O460" t="str">
        <f>VLOOKUP(Invoices[[#This Row],[Customer Account]],Customers[],4,0)</f>
        <v>Financial</v>
      </c>
      <c r="P460" t="str">
        <f>VLOOKUP(Invoices[[#This Row],[Customer Account]],Customers[],3,0)</f>
        <v>Georgia</v>
      </c>
      <c r="Q460" t="str">
        <f>VLOOKUP(Invoices[[#This Row],[Part  '#]],Products[],3,0)</f>
        <v>Consumables</v>
      </c>
      <c r="R460" s="25">
        <f>Invoices[[#This Row],[Quantity]]*Invoices[[#This Row],[Unit Cost]]</f>
        <v>69</v>
      </c>
      <c r="S460" s="25">
        <f>Invoices[[#This Row],[Quantity]]*Invoices[[#This Row],[New Unit Price]]</f>
        <v>300</v>
      </c>
      <c r="T460" s="25">
        <f>Invoices[[#This Row],[Revenue]]-Invoices[[#This Row],[Cost]]</f>
        <v>231</v>
      </c>
      <c r="U460" s="25" t="str">
        <f>TEXT(Invoices[[#This Row],[Date]],"MMM")</f>
        <v>Dec</v>
      </c>
      <c r="V460" s="29">
        <f>CHOOSE(MONTH(Invoices[[#This Row],[Date]]),1,1,1,2,2,2,3,3,3,4,4,4)</f>
        <v>4</v>
      </c>
      <c r="W460" s="30">
        <f>IFERROR(Invoices[[#This Row],[Profit]]/Invoices[[#This Row],[Revenue]],0)</f>
        <v>0.77</v>
      </c>
    </row>
    <row r="461" spans="1:23" x14ac:dyDescent="0.3">
      <c r="A461" s="19" t="s">
        <v>5</v>
      </c>
      <c r="B461" s="9">
        <v>22960</v>
      </c>
      <c r="C461" s="15">
        <v>41609</v>
      </c>
      <c r="D461" s="9">
        <v>107</v>
      </c>
      <c r="E461" s="10" t="s">
        <v>72</v>
      </c>
      <c r="F461" s="8">
        <v>1</v>
      </c>
      <c r="G461" s="10"/>
      <c r="H461" s="4" t="s">
        <v>135</v>
      </c>
      <c r="I461" s="4" t="s">
        <v>52</v>
      </c>
      <c r="J461" s="4">
        <v>1</v>
      </c>
      <c r="K461" s="23">
        <v>100</v>
      </c>
      <c r="L461">
        <f>IF(Invoices[[#This Row],[Document Type]]="Return",Invoices[[#This Row],[Unit Price]]*-1,Invoices[[#This Row],[Unit Price]])</f>
        <v>100</v>
      </c>
      <c r="M461" t="str">
        <f>IF(Invoices[[#This Row],[New Unit Price]]&lt;0,"Return",
IF(Invoices[[#This Row],[New Unit Price]]=0,"Free",IF(Invoices[[#This Row],[New Unit Price]]&lt;100,"Basic","Premium")))</f>
        <v>Premium</v>
      </c>
      <c r="N461">
        <f>VLOOKUP(Invoices[[#This Row],[Part  '#]],Products[],4,0)</f>
        <v>27.17</v>
      </c>
      <c r="O461" t="str">
        <f>VLOOKUP(Invoices[[#This Row],[Customer Account]],Customers[],4,0)</f>
        <v>Financial</v>
      </c>
      <c r="P461" t="str">
        <f>VLOOKUP(Invoices[[#This Row],[Customer Account]],Customers[],3,0)</f>
        <v>Georgia</v>
      </c>
      <c r="Q461" t="str">
        <f>VLOOKUP(Invoices[[#This Row],[Part  '#]],Products[],3,0)</f>
        <v>Consumables</v>
      </c>
      <c r="R461" s="25">
        <f>Invoices[[#This Row],[Quantity]]*Invoices[[#This Row],[Unit Cost]]</f>
        <v>27.17</v>
      </c>
      <c r="S461" s="25">
        <f>Invoices[[#This Row],[Quantity]]*Invoices[[#This Row],[New Unit Price]]</f>
        <v>100</v>
      </c>
      <c r="T461" s="25">
        <f>Invoices[[#This Row],[Revenue]]-Invoices[[#This Row],[Cost]]</f>
        <v>72.83</v>
      </c>
      <c r="U461" s="25" t="str">
        <f>TEXT(Invoices[[#This Row],[Date]],"MMM")</f>
        <v>Dec</v>
      </c>
      <c r="V461" s="29">
        <f>CHOOSE(MONTH(Invoices[[#This Row],[Date]]),1,1,1,2,2,2,3,3,3,4,4,4)</f>
        <v>4</v>
      </c>
      <c r="W461" s="30">
        <f>IFERROR(Invoices[[#This Row],[Profit]]/Invoices[[#This Row],[Revenue]],0)</f>
        <v>0.72829999999999995</v>
      </c>
    </row>
    <row r="462" spans="1:23" x14ac:dyDescent="0.3">
      <c r="A462" s="19" t="s">
        <v>5</v>
      </c>
      <c r="B462" s="9">
        <v>22960</v>
      </c>
      <c r="C462" s="15">
        <v>41609</v>
      </c>
      <c r="D462" s="9">
        <v>107</v>
      </c>
      <c r="E462" s="10" t="s">
        <v>72</v>
      </c>
      <c r="F462" s="8">
        <v>2</v>
      </c>
      <c r="G462" s="10"/>
      <c r="H462" s="4" t="s">
        <v>132</v>
      </c>
      <c r="I462" s="4" t="s">
        <v>49</v>
      </c>
      <c r="J462" s="4">
        <v>2</v>
      </c>
      <c r="K462" s="23">
        <v>70</v>
      </c>
      <c r="L462">
        <f>IF(Invoices[[#This Row],[Document Type]]="Return",Invoices[[#This Row],[Unit Price]]*-1,Invoices[[#This Row],[Unit Price]])</f>
        <v>70</v>
      </c>
      <c r="M462" t="str">
        <f>IF(Invoices[[#This Row],[New Unit Price]]&lt;0,"Return",
IF(Invoices[[#This Row],[New Unit Price]]=0,"Free",IF(Invoices[[#This Row],[New Unit Price]]&lt;100,"Basic","Premium")))</f>
        <v>Basic</v>
      </c>
      <c r="N462">
        <f>VLOOKUP(Invoices[[#This Row],[Part  '#]],Products[],4,0)</f>
        <v>13.92</v>
      </c>
      <c r="O462" t="str">
        <f>VLOOKUP(Invoices[[#This Row],[Customer Account]],Customers[],4,0)</f>
        <v>Financial</v>
      </c>
      <c r="P462" t="str">
        <f>VLOOKUP(Invoices[[#This Row],[Customer Account]],Customers[],3,0)</f>
        <v>Georgia</v>
      </c>
      <c r="Q462" t="str">
        <f>VLOOKUP(Invoices[[#This Row],[Part  '#]],Products[],3,0)</f>
        <v>Consumables</v>
      </c>
      <c r="R462" s="25">
        <f>Invoices[[#This Row],[Quantity]]*Invoices[[#This Row],[Unit Cost]]</f>
        <v>27.84</v>
      </c>
      <c r="S462" s="25">
        <f>Invoices[[#This Row],[Quantity]]*Invoices[[#This Row],[New Unit Price]]</f>
        <v>140</v>
      </c>
      <c r="T462" s="25">
        <f>Invoices[[#This Row],[Revenue]]-Invoices[[#This Row],[Cost]]</f>
        <v>112.16</v>
      </c>
      <c r="U462" s="25" t="str">
        <f>TEXT(Invoices[[#This Row],[Date]],"MMM")</f>
        <v>Dec</v>
      </c>
      <c r="V462" s="29">
        <f>CHOOSE(MONTH(Invoices[[#This Row],[Date]]),1,1,1,2,2,2,3,3,3,4,4,4)</f>
        <v>4</v>
      </c>
      <c r="W462" s="30">
        <f>IFERROR(Invoices[[#This Row],[Profit]]/Invoices[[#This Row],[Revenue]],0)</f>
        <v>0.80114285714285716</v>
      </c>
    </row>
    <row r="463" spans="1:23" x14ac:dyDescent="0.3">
      <c r="A463" s="19" t="s">
        <v>5</v>
      </c>
      <c r="B463" s="9">
        <v>22960</v>
      </c>
      <c r="C463" s="15">
        <v>41609</v>
      </c>
      <c r="D463" s="9">
        <v>107</v>
      </c>
      <c r="E463" s="10" t="s">
        <v>72</v>
      </c>
      <c r="F463" s="8">
        <v>2</v>
      </c>
      <c r="G463" s="10"/>
      <c r="H463" s="4" t="s">
        <v>136</v>
      </c>
      <c r="I463" s="4" t="s">
        <v>53</v>
      </c>
      <c r="J463" s="4">
        <v>1</v>
      </c>
      <c r="K463" s="23">
        <v>140</v>
      </c>
      <c r="L463">
        <f>IF(Invoices[[#This Row],[Document Type]]="Return",Invoices[[#This Row],[Unit Price]]*-1,Invoices[[#This Row],[Unit Price]])</f>
        <v>140</v>
      </c>
      <c r="M463" t="str">
        <f>IF(Invoices[[#This Row],[New Unit Price]]&lt;0,"Return",
IF(Invoices[[#This Row],[New Unit Price]]=0,"Free",IF(Invoices[[#This Row],[New Unit Price]]&lt;100,"Basic","Premium")))</f>
        <v>Premium</v>
      </c>
      <c r="N463">
        <f>VLOOKUP(Invoices[[#This Row],[Part  '#]],Products[],4,0)</f>
        <v>34.299999999999997</v>
      </c>
      <c r="O463" t="str">
        <f>VLOOKUP(Invoices[[#This Row],[Customer Account]],Customers[],4,0)</f>
        <v>Financial</v>
      </c>
      <c r="P463" t="str">
        <f>VLOOKUP(Invoices[[#This Row],[Customer Account]],Customers[],3,0)</f>
        <v>Georgia</v>
      </c>
      <c r="Q463" t="str">
        <f>VLOOKUP(Invoices[[#This Row],[Part  '#]],Products[],3,0)</f>
        <v>Consumables</v>
      </c>
      <c r="R463" s="25">
        <f>Invoices[[#This Row],[Quantity]]*Invoices[[#This Row],[Unit Cost]]</f>
        <v>34.299999999999997</v>
      </c>
      <c r="S463" s="25">
        <f>Invoices[[#This Row],[Quantity]]*Invoices[[#This Row],[New Unit Price]]</f>
        <v>140</v>
      </c>
      <c r="T463" s="25">
        <f>Invoices[[#This Row],[Revenue]]-Invoices[[#This Row],[Cost]]</f>
        <v>105.7</v>
      </c>
      <c r="U463" s="25" t="str">
        <f>TEXT(Invoices[[#This Row],[Date]],"MMM")</f>
        <v>Dec</v>
      </c>
      <c r="V463" s="29">
        <f>CHOOSE(MONTH(Invoices[[#This Row],[Date]]),1,1,1,2,2,2,3,3,3,4,4,4)</f>
        <v>4</v>
      </c>
      <c r="W463" s="30">
        <f>IFERROR(Invoices[[#This Row],[Profit]]/Invoices[[#This Row],[Revenue]],0)</f>
        <v>0.755</v>
      </c>
    </row>
    <row r="464" spans="1:23" x14ac:dyDescent="0.3">
      <c r="A464" s="19" t="s">
        <v>5</v>
      </c>
      <c r="B464" s="9">
        <v>22961</v>
      </c>
      <c r="C464" s="15">
        <v>41609</v>
      </c>
      <c r="D464" s="9">
        <v>112</v>
      </c>
      <c r="E464" s="10" t="s">
        <v>80</v>
      </c>
      <c r="F464" s="8">
        <v>1</v>
      </c>
      <c r="G464" s="10"/>
      <c r="H464" s="4" t="s">
        <v>125</v>
      </c>
      <c r="I464" s="4" t="s">
        <v>40</v>
      </c>
      <c r="J464" s="4">
        <v>5</v>
      </c>
      <c r="K464" s="23">
        <v>30</v>
      </c>
      <c r="L464">
        <f>IF(Invoices[[#This Row],[Document Type]]="Return",Invoices[[#This Row],[Unit Price]]*-1,Invoices[[#This Row],[Unit Price]])</f>
        <v>30</v>
      </c>
      <c r="M464" t="str">
        <f>IF(Invoices[[#This Row],[New Unit Price]]&lt;0,"Return",
IF(Invoices[[#This Row],[New Unit Price]]=0,"Free",IF(Invoices[[#This Row],[New Unit Price]]&lt;100,"Basic","Premium")))</f>
        <v>Basic</v>
      </c>
      <c r="N464">
        <f>VLOOKUP(Invoices[[#This Row],[Part  '#]],Products[],4,0)</f>
        <v>6.9</v>
      </c>
      <c r="O464" t="str">
        <f>VLOOKUP(Invoices[[#This Row],[Customer Account]],Customers[],4,0)</f>
        <v>Financial</v>
      </c>
      <c r="P464" t="str">
        <f>VLOOKUP(Invoices[[#This Row],[Customer Account]],Customers[],3,0)</f>
        <v>Georgia</v>
      </c>
      <c r="Q464" t="str">
        <f>VLOOKUP(Invoices[[#This Row],[Part  '#]],Products[],3,0)</f>
        <v>Consumables</v>
      </c>
      <c r="R464" s="25">
        <f>Invoices[[#This Row],[Quantity]]*Invoices[[#This Row],[Unit Cost]]</f>
        <v>34.5</v>
      </c>
      <c r="S464" s="25">
        <f>Invoices[[#This Row],[Quantity]]*Invoices[[#This Row],[New Unit Price]]</f>
        <v>150</v>
      </c>
      <c r="T464" s="25">
        <f>Invoices[[#This Row],[Revenue]]-Invoices[[#This Row],[Cost]]</f>
        <v>115.5</v>
      </c>
      <c r="U464" s="25" t="str">
        <f>TEXT(Invoices[[#This Row],[Date]],"MMM")</f>
        <v>Dec</v>
      </c>
      <c r="V464" s="29">
        <f>CHOOSE(MONTH(Invoices[[#This Row],[Date]]),1,1,1,2,2,2,3,3,3,4,4,4)</f>
        <v>4</v>
      </c>
      <c r="W464" s="30">
        <f>IFERROR(Invoices[[#This Row],[Profit]]/Invoices[[#This Row],[Revenue]],0)</f>
        <v>0.77</v>
      </c>
    </row>
    <row r="465" spans="1:23" x14ac:dyDescent="0.3">
      <c r="A465" s="19" t="s">
        <v>5</v>
      </c>
      <c r="B465" s="9">
        <v>22961</v>
      </c>
      <c r="C465" s="15">
        <v>41609</v>
      </c>
      <c r="D465" s="9">
        <v>112</v>
      </c>
      <c r="E465" s="10" t="s">
        <v>80</v>
      </c>
      <c r="F465" s="8">
        <v>2</v>
      </c>
      <c r="G465" s="10"/>
      <c r="H465" s="4" t="s">
        <v>132</v>
      </c>
      <c r="I465" s="4" t="s">
        <v>49</v>
      </c>
      <c r="J465" s="4">
        <v>5</v>
      </c>
      <c r="K465" s="23">
        <v>70</v>
      </c>
      <c r="L465">
        <f>IF(Invoices[[#This Row],[Document Type]]="Return",Invoices[[#This Row],[Unit Price]]*-1,Invoices[[#This Row],[Unit Price]])</f>
        <v>70</v>
      </c>
      <c r="M465" t="str">
        <f>IF(Invoices[[#This Row],[New Unit Price]]&lt;0,"Return",
IF(Invoices[[#This Row],[New Unit Price]]=0,"Free",IF(Invoices[[#This Row],[New Unit Price]]&lt;100,"Basic","Premium")))</f>
        <v>Basic</v>
      </c>
      <c r="N465">
        <f>VLOOKUP(Invoices[[#This Row],[Part  '#]],Products[],4,0)</f>
        <v>13.92</v>
      </c>
      <c r="O465" t="str">
        <f>VLOOKUP(Invoices[[#This Row],[Customer Account]],Customers[],4,0)</f>
        <v>Financial</v>
      </c>
      <c r="P465" t="str">
        <f>VLOOKUP(Invoices[[#This Row],[Customer Account]],Customers[],3,0)</f>
        <v>Georgia</v>
      </c>
      <c r="Q465" t="str">
        <f>VLOOKUP(Invoices[[#This Row],[Part  '#]],Products[],3,0)</f>
        <v>Consumables</v>
      </c>
      <c r="R465" s="25">
        <f>Invoices[[#This Row],[Quantity]]*Invoices[[#This Row],[Unit Cost]]</f>
        <v>69.599999999999994</v>
      </c>
      <c r="S465" s="25">
        <f>Invoices[[#This Row],[Quantity]]*Invoices[[#This Row],[New Unit Price]]</f>
        <v>350</v>
      </c>
      <c r="T465" s="25">
        <f>Invoices[[#This Row],[Revenue]]-Invoices[[#This Row],[Cost]]</f>
        <v>280.39999999999998</v>
      </c>
      <c r="U465" s="25" t="str">
        <f>TEXT(Invoices[[#This Row],[Date]],"MMM")</f>
        <v>Dec</v>
      </c>
      <c r="V465" s="29">
        <f>CHOOSE(MONTH(Invoices[[#This Row],[Date]]),1,1,1,2,2,2,3,3,3,4,4,4)</f>
        <v>4</v>
      </c>
      <c r="W465" s="30">
        <f>IFERROR(Invoices[[#This Row],[Profit]]/Invoices[[#This Row],[Revenue]],0)</f>
        <v>0.80114285714285705</v>
      </c>
    </row>
    <row r="466" spans="1:23" x14ac:dyDescent="0.3">
      <c r="A466" s="19" t="s">
        <v>5</v>
      </c>
      <c r="B466" s="9">
        <v>22962</v>
      </c>
      <c r="C466" s="15">
        <v>41609</v>
      </c>
      <c r="D466" s="9">
        <v>113</v>
      </c>
      <c r="E466" s="10" t="s">
        <v>81</v>
      </c>
      <c r="F466" s="8">
        <v>1</v>
      </c>
      <c r="G466" s="10"/>
      <c r="H466" s="4" t="s">
        <v>125</v>
      </c>
      <c r="I466" s="4" t="s">
        <v>40</v>
      </c>
      <c r="J466" s="4">
        <v>250</v>
      </c>
      <c r="K466" s="23">
        <v>24</v>
      </c>
      <c r="L466">
        <f>IF(Invoices[[#This Row],[Document Type]]="Return",Invoices[[#This Row],[Unit Price]]*-1,Invoices[[#This Row],[Unit Price]])</f>
        <v>24</v>
      </c>
      <c r="M466" t="str">
        <f>IF(Invoices[[#This Row],[New Unit Price]]&lt;0,"Return",
IF(Invoices[[#This Row],[New Unit Price]]=0,"Free",IF(Invoices[[#This Row],[New Unit Price]]&lt;100,"Basic","Premium")))</f>
        <v>Basic</v>
      </c>
      <c r="N466">
        <f>VLOOKUP(Invoices[[#This Row],[Part  '#]],Products[],4,0)</f>
        <v>6.9</v>
      </c>
      <c r="O466" t="str">
        <f>VLOOKUP(Invoices[[#This Row],[Customer Account]],Customers[],4,0)</f>
        <v>Financial</v>
      </c>
      <c r="P466" t="str">
        <f>VLOOKUP(Invoices[[#This Row],[Customer Account]],Customers[],3,0)</f>
        <v>Georgia</v>
      </c>
      <c r="Q466" t="str">
        <f>VLOOKUP(Invoices[[#This Row],[Part  '#]],Products[],3,0)</f>
        <v>Consumables</v>
      </c>
      <c r="R466" s="25">
        <f>Invoices[[#This Row],[Quantity]]*Invoices[[#This Row],[Unit Cost]]</f>
        <v>1725</v>
      </c>
      <c r="S466" s="25">
        <f>Invoices[[#This Row],[Quantity]]*Invoices[[#This Row],[New Unit Price]]</f>
        <v>6000</v>
      </c>
      <c r="T466" s="25">
        <f>Invoices[[#This Row],[Revenue]]-Invoices[[#This Row],[Cost]]</f>
        <v>4275</v>
      </c>
      <c r="U466" s="25" t="str">
        <f>TEXT(Invoices[[#This Row],[Date]],"MMM")</f>
        <v>Dec</v>
      </c>
      <c r="V466" s="29">
        <f>CHOOSE(MONTH(Invoices[[#This Row],[Date]]),1,1,1,2,2,2,3,3,3,4,4,4)</f>
        <v>4</v>
      </c>
      <c r="W466" s="30">
        <f>IFERROR(Invoices[[#This Row],[Profit]]/Invoices[[#This Row],[Revenue]],0)</f>
        <v>0.71250000000000002</v>
      </c>
    </row>
    <row r="467" spans="1:23" x14ac:dyDescent="0.3">
      <c r="A467" s="19" t="s">
        <v>5</v>
      </c>
      <c r="B467" s="9">
        <v>22962</v>
      </c>
      <c r="C467" s="15">
        <v>41609</v>
      </c>
      <c r="D467" s="9">
        <v>113</v>
      </c>
      <c r="E467" s="10" t="s">
        <v>81</v>
      </c>
      <c r="F467" s="8">
        <v>2</v>
      </c>
      <c r="G467" s="10"/>
      <c r="H467" s="4" t="s">
        <v>132</v>
      </c>
      <c r="I467" s="4" t="s">
        <v>49</v>
      </c>
      <c r="J467" s="4">
        <v>50</v>
      </c>
      <c r="K467" s="23">
        <v>70</v>
      </c>
      <c r="L467">
        <f>IF(Invoices[[#This Row],[Document Type]]="Return",Invoices[[#This Row],[Unit Price]]*-1,Invoices[[#This Row],[Unit Price]])</f>
        <v>70</v>
      </c>
      <c r="M467" t="str">
        <f>IF(Invoices[[#This Row],[New Unit Price]]&lt;0,"Return",
IF(Invoices[[#This Row],[New Unit Price]]=0,"Free",IF(Invoices[[#This Row],[New Unit Price]]&lt;100,"Basic","Premium")))</f>
        <v>Basic</v>
      </c>
      <c r="N467">
        <f>VLOOKUP(Invoices[[#This Row],[Part  '#]],Products[],4,0)</f>
        <v>13.92</v>
      </c>
      <c r="O467" t="str">
        <f>VLOOKUP(Invoices[[#This Row],[Customer Account]],Customers[],4,0)</f>
        <v>Financial</v>
      </c>
      <c r="P467" t="str">
        <f>VLOOKUP(Invoices[[#This Row],[Customer Account]],Customers[],3,0)</f>
        <v>Georgia</v>
      </c>
      <c r="Q467" t="str">
        <f>VLOOKUP(Invoices[[#This Row],[Part  '#]],Products[],3,0)</f>
        <v>Consumables</v>
      </c>
      <c r="R467" s="25">
        <f>Invoices[[#This Row],[Quantity]]*Invoices[[#This Row],[Unit Cost]]</f>
        <v>696</v>
      </c>
      <c r="S467" s="25">
        <f>Invoices[[#This Row],[Quantity]]*Invoices[[#This Row],[New Unit Price]]</f>
        <v>3500</v>
      </c>
      <c r="T467" s="25">
        <f>Invoices[[#This Row],[Revenue]]-Invoices[[#This Row],[Cost]]</f>
        <v>2804</v>
      </c>
      <c r="U467" s="25" t="str">
        <f>TEXT(Invoices[[#This Row],[Date]],"MMM")</f>
        <v>Dec</v>
      </c>
      <c r="V467" s="29">
        <f>CHOOSE(MONTH(Invoices[[#This Row],[Date]]),1,1,1,2,2,2,3,3,3,4,4,4)</f>
        <v>4</v>
      </c>
      <c r="W467" s="30">
        <f>IFERROR(Invoices[[#This Row],[Profit]]/Invoices[[#This Row],[Revenue]],0)</f>
        <v>0.80114285714285716</v>
      </c>
    </row>
    <row r="468" spans="1:23" x14ac:dyDescent="0.3">
      <c r="A468" s="19" t="s">
        <v>5</v>
      </c>
      <c r="B468" s="9">
        <v>22962</v>
      </c>
      <c r="C468" s="15">
        <v>41609</v>
      </c>
      <c r="D468" s="9">
        <v>113</v>
      </c>
      <c r="E468" s="10" t="s">
        <v>81</v>
      </c>
      <c r="F468" s="8">
        <v>3</v>
      </c>
      <c r="G468" s="10"/>
      <c r="H468" s="4" t="s">
        <v>120</v>
      </c>
      <c r="I468" s="4" t="s">
        <v>54</v>
      </c>
      <c r="J468" s="4">
        <v>2</v>
      </c>
      <c r="K468" s="23">
        <v>250</v>
      </c>
      <c r="L468">
        <f>IF(Invoices[[#This Row],[Document Type]]="Return",Invoices[[#This Row],[Unit Price]]*-1,Invoices[[#This Row],[Unit Price]])</f>
        <v>250</v>
      </c>
      <c r="M468" t="str">
        <f>IF(Invoices[[#This Row],[New Unit Price]]&lt;0,"Return",
IF(Invoices[[#This Row],[New Unit Price]]=0,"Free",IF(Invoices[[#This Row],[New Unit Price]]&lt;100,"Basic","Premium")))</f>
        <v>Premium</v>
      </c>
      <c r="N468">
        <f>VLOOKUP(Invoices[[#This Row],[Part  '#]],Products[],4,0)</f>
        <v>89.7</v>
      </c>
      <c r="O468" t="str">
        <f>VLOOKUP(Invoices[[#This Row],[Customer Account]],Customers[],4,0)</f>
        <v>Financial</v>
      </c>
      <c r="P468" t="str">
        <f>VLOOKUP(Invoices[[#This Row],[Customer Account]],Customers[],3,0)</f>
        <v>Georgia</v>
      </c>
      <c r="Q468" t="str">
        <f>VLOOKUP(Invoices[[#This Row],[Part  '#]],Products[],3,0)</f>
        <v>Accessories</v>
      </c>
      <c r="R468" s="25">
        <f>Invoices[[#This Row],[Quantity]]*Invoices[[#This Row],[Unit Cost]]</f>
        <v>179.4</v>
      </c>
      <c r="S468" s="25">
        <f>Invoices[[#This Row],[Quantity]]*Invoices[[#This Row],[New Unit Price]]</f>
        <v>500</v>
      </c>
      <c r="T468" s="25">
        <f>Invoices[[#This Row],[Revenue]]-Invoices[[#This Row],[Cost]]</f>
        <v>320.60000000000002</v>
      </c>
      <c r="U468" s="25" t="str">
        <f>TEXT(Invoices[[#This Row],[Date]],"MMM")</f>
        <v>Dec</v>
      </c>
      <c r="V468" s="29">
        <f>CHOOSE(MONTH(Invoices[[#This Row],[Date]]),1,1,1,2,2,2,3,3,3,4,4,4)</f>
        <v>4</v>
      </c>
      <c r="W468" s="30">
        <f>IFERROR(Invoices[[#This Row],[Profit]]/Invoices[[#This Row],[Revenue]],0)</f>
        <v>0.64119999999999999</v>
      </c>
    </row>
    <row r="469" spans="1:23" x14ac:dyDescent="0.3">
      <c r="A469" s="19" t="s">
        <v>5</v>
      </c>
      <c r="B469" s="9">
        <v>22963</v>
      </c>
      <c r="C469" s="15">
        <v>41609</v>
      </c>
      <c r="D469" s="9">
        <v>114</v>
      </c>
      <c r="E469" s="10" t="s">
        <v>82</v>
      </c>
      <c r="F469" s="8">
        <v>1</v>
      </c>
      <c r="G469" s="10"/>
      <c r="H469" s="4" t="s">
        <v>135</v>
      </c>
      <c r="I469" s="4" t="s">
        <v>52</v>
      </c>
      <c r="J469" s="4">
        <v>3</v>
      </c>
      <c r="K469" s="23">
        <v>100</v>
      </c>
      <c r="L469">
        <f>IF(Invoices[[#This Row],[Document Type]]="Return",Invoices[[#This Row],[Unit Price]]*-1,Invoices[[#This Row],[Unit Price]])</f>
        <v>100</v>
      </c>
      <c r="M469" t="str">
        <f>IF(Invoices[[#This Row],[New Unit Price]]&lt;0,"Return",
IF(Invoices[[#This Row],[New Unit Price]]=0,"Free",IF(Invoices[[#This Row],[New Unit Price]]&lt;100,"Basic","Premium")))</f>
        <v>Premium</v>
      </c>
      <c r="N469">
        <f>VLOOKUP(Invoices[[#This Row],[Part  '#]],Products[],4,0)</f>
        <v>27.17</v>
      </c>
      <c r="O469" t="str">
        <f>VLOOKUP(Invoices[[#This Row],[Customer Account]],Customers[],4,0)</f>
        <v>Automotive</v>
      </c>
      <c r="P469" t="str">
        <f>VLOOKUP(Invoices[[#This Row],[Customer Account]],Customers[],3,0)</f>
        <v>North Carolina</v>
      </c>
      <c r="Q469" t="str">
        <f>VLOOKUP(Invoices[[#This Row],[Part  '#]],Products[],3,0)</f>
        <v>Consumables</v>
      </c>
      <c r="R469" s="25">
        <f>Invoices[[#This Row],[Quantity]]*Invoices[[#This Row],[Unit Cost]]</f>
        <v>81.510000000000005</v>
      </c>
      <c r="S469" s="25">
        <f>Invoices[[#This Row],[Quantity]]*Invoices[[#This Row],[New Unit Price]]</f>
        <v>300</v>
      </c>
      <c r="T469" s="25">
        <f>Invoices[[#This Row],[Revenue]]-Invoices[[#This Row],[Cost]]</f>
        <v>218.49</v>
      </c>
      <c r="U469" s="25" t="str">
        <f>TEXT(Invoices[[#This Row],[Date]],"MMM")</f>
        <v>Dec</v>
      </c>
      <c r="V469" s="29">
        <f>CHOOSE(MONTH(Invoices[[#This Row],[Date]]),1,1,1,2,2,2,3,3,3,4,4,4)</f>
        <v>4</v>
      </c>
      <c r="W469" s="30">
        <f>IFERROR(Invoices[[#This Row],[Profit]]/Invoices[[#This Row],[Revenue]],0)</f>
        <v>0.72830000000000006</v>
      </c>
    </row>
    <row r="470" spans="1:23" x14ac:dyDescent="0.3">
      <c r="A470" s="19" t="s">
        <v>5</v>
      </c>
      <c r="B470" s="9">
        <v>22963</v>
      </c>
      <c r="C470" s="15">
        <v>41609</v>
      </c>
      <c r="D470" s="9">
        <v>114</v>
      </c>
      <c r="E470" s="10" t="s">
        <v>82</v>
      </c>
      <c r="F470" s="8">
        <v>2</v>
      </c>
      <c r="G470" s="10"/>
      <c r="H470" s="4" t="s">
        <v>136</v>
      </c>
      <c r="I470" s="4" t="s">
        <v>53</v>
      </c>
      <c r="J470" s="4">
        <v>2</v>
      </c>
      <c r="K470" s="23">
        <v>140</v>
      </c>
      <c r="L470">
        <f>IF(Invoices[[#This Row],[Document Type]]="Return",Invoices[[#This Row],[Unit Price]]*-1,Invoices[[#This Row],[Unit Price]])</f>
        <v>140</v>
      </c>
      <c r="M470" t="str">
        <f>IF(Invoices[[#This Row],[New Unit Price]]&lt;0,"Return",
IF(Invoices[[#This Row],[New Unit Price]]=0,"Free",IF(Invoices[[#This Row],[New Unit Price]]&lt;100,"Basic","Premium")))</f>
        <v>Premium</v>
      </c>
      <c r="N470">
        <f>VLOOKUP(Invoices[[#This Row],[Part  '#]],Products[],4,0)</f>
        <v>34.299999999999997</v>
      </c>
      <c r="O470" t="str">
        <f>VLOOKUP(Invoices[[#This Row],[Customer Account]],Customers[],4,0)</f>
        <v>Automotive</v>
      </c>
      <c r="P470" t="str">
        <f>VLOOKUP(Invoices[[#This Row],[Customer Account]],Customers[],3,0)</f>
        <v>North Carolina</v>
      </c>
      <c r="Q470" t="str">
        <f>VLOOKUP(Invoices[[#This Row],[Part  '#]],Products[],3,0)</f>
        <v>Consumables</v>
      </c>
      <c r="R470" s="25">
        <f>Invoices[[#This Row],[Quantity]]*Invoices[[#This Row],[Unit Cost]]</f>
        <v>68.599999999999994</v>
      </c>
      <c r="S470" s="25">
        <f>Invoices[[#This Row],[Quantity]]*Invoices[[#This Row],[New Unit Price]]</f>
        <v>280</v>
      </c>
      <c r="T470" s="25">
        <f>Invoices[[#This Row],[Revenue]]-Invoices[[#This Row],[Cost]]</f>
        <v>211.4</v>
      </c>
      <c r="U470" s="25" t="str">
        <f>TEXT(Invoices[[#This Row],[Date]],"MMM")</f>
        <v>Dec</v>
      </c>
      <c r="V470" s="29">
        <f>CHOOSE(MONTH(Invoices[[#This Row],[Date]]),1,1,1,2,2,2,3,3,3,4,4,4)</f>
        <v>4</v>
      </c>
      <c r="W470" s="30">
        <f>IFERROR(Invoices[[#This Row],[Profit]]/Invoices[[#This Row],[Revenue]],0)</f>
        <v>0.755</v>
      </c>
    </row>
    <row r="471" spans="1:23" x14ac:dyDescent="0.3">
      <c r="A471" s="19" t="s">
        <v>5</v>
      </c>
      <c r="B471" s="9">
        <v>22963</v>
      </c>
      <c r="C471" s="15">
        <v>41609</v>
      </c>
      <c r="D471" s="9">
        <v>114</v>
      </c>
      <c r="E471" s="10" t="s">
        <v>82</v>
      </c>
      <c r="F471" s="8">
        <v>3</v>
      </c>
      <c r="G471" s="10"/>
      <c r="H471" s="4" t="s">
        <v>128</v>
      </c>
      <c r="I471" s="4" t="s">
        <v>45</v>
      </c>
      <c r="J471" s="4">
        <v>16</v>
      </c>
      <c r="K471" s="23">
        <v>25</v>
      </c>
      <c r="L471">
        <f>IF(Invoices[[#This Row],[Document Type]]="Return",Invoices[[#This Row],[Unit Price]]*-1,Invoices[[#This Row],[Unit Price]])</f>
        <v>25</v>
      </c>
      <c r="M471" t="str">
        <f>IF(Invoices[[#This Row],[New Unit Price]]&lt;0,"Return",
IF(Invoices[[#This Row],[New Unit Price]]=0,"Free",IF(Invoices[[#This Row],[New Unit Price]]&lt;100,"Basic","Premium")))</f>
        <v>Basic</v>
      </c>
      <c r="N471">
        <f>VLOOKUP(Invoices[[#This Row],[Part  '#]],Products[],4,0)</f>
        <v>5.16</v>
      </c>
      <c r="O471" t="str">
        <f>VLOOKUP(Invoices[[#This Row],[Customer Account]],Customers[],4,0)</f>
        <v>Automotive</v>
      </c>
      <c r="P471" t="str">
        <f>VLOOKUP(Invoices[[#This Row],[Customer Account]],Customers[],3,0)</f>
        <v>North Carolina</v>
      </c>
      <c r="Q471" t="str">
        <f>VLOOKUP(Invoices[[#This Row],[Part  '#]],Products[],3,0)</f>
        <v>Consumables</v>
      </c>
      <c r="R471" s="25">
        <f>Invoices[[#This Row],[Quantity]]*Invoices[[#This Row],[Unit Cost]]</f>
        <v>82.56</v>
      </c>
      <c r="S471" s="25">
        <f>Invoices[[#This Row],[Quantity]]*Invoices[[#This Row],[New Unit Price]]</f>
        <v>400</v>
      </c>
      <c r="T471" s="25">
        <f>Invoices[[#This Row],[Revenue]]-Invoices[[#This Row],[Cost]]</f>
        <v>317.44</v>
      </c>
      <c r="U471" s="25" t="str">
        <f>TEXT(Invoices[[#This Row],[Date]],"MMM")</f>
        <v>Dec</v>
      </c>
      <c r="V471" s="29">
        <f>CHOOSE(MONTH(Invoices[[#This Row],[Date]]),1,1,1,2,2,2,3,3,3,4,4,4)</f>
        <v>4</v>
      </c>
      <c r="W471" s="30">
        <f>IFERROR(Invoices[[#This Row],[Profit]]/Invoices[[#This Row],[Revenue]],0)</f>
        <v>0.79359999999999997</v>
      </c>
    </row>
    <row r="472" spans="1:23" x14ac:dyDescent="0.3">
      <c r="A472" s="19" t="s">
        <v>5</v>
      </c>
      <c r="B472" s="9">
        <v>22963</v>
      </c>
      <c r="C472" s="15">
        <v>41609</v>
      </c>
      <c r="D472" s="9">
        <v>114</v>
      </c>
      <c r="E472" s="10" t="s">
        <v>82</v>
      </c>
      <c r="F472" s="8">
        <v>4</v>
      </c>
      <c r="G472" s="10"/>
      <c r="H472" s="4" t="s">
        <v>130</v>
      </c>
      <c r="I472" s="4" t="s">
        <v>47</v>
      </c>
      <c r="J472" s="4">
        <v>21</v>
      </c>
      <c r="K472" s="23">
        <v>24</v>
      </c>
      <c r="L472">
        <f>IF(Invoices[[#This Row],[Document Type]]="Return",Invoices[[#This Row],[Unit Price]]*-1,Invoices[[#This Row],[Unit Price]])</f>
        <v>24</v>
      </c>
      <c r="M472" t="str">
        <f>IF(Invoices[[#This Row],[New Unit Price]]&lt;0,"Return",
IF(Invoices[[#This Row],[New Unit Price]]=0,"Free",IF(Invoices[[#This Row],[New Unit Price]]&lt;100,"Basic","Premium")))</f>
        <v>Basic</v>
      </c>
      <c r="N472">
        <f>VLOOKUP(Invoices[[#This Row],[Part  '#]],Products[],4,0)</f>
        <v>7.09</v>
      </c>
      <c r="O472" t="str">
        <f>VLOOKUP(Invoices[[#This Row],[Customer Account]],Customers[],4,0)</f>
        <v>Automotive</v>
      </c>
      <c r="P472" t="str">
        <f>VLOOKUP(Invoices[[#This Row],[Customer Account]],Customers[],3,0)</f>
        <v>North Carolina</v>
      </c>
      <c r="Q472" t="str">
        <f>VLOOKUP(Invoices[[#This Row],[Part  '#]],Products[],3,0)</f>
        <v>Consumables</v>
      </c>
      <c r="R472" s="25">
        <f>Invoices[[#This Row],[Quantity]]*Invoices[[#This Row],[Unit Cost]]</f>
        <v>148.88999999999999</v>
      </c>
      <c r="S472" s="25">
        <f>Invoices[[#This Row],[Quantity]]*Invoices[[#This Row],[New Unit Price]]</f>
        <v>504</v>
      </c>
      <c r="T472" s="25">
        <f>Invoices[[#This Row],[Revenue]]-Invoices[[#This Row],[Cost]]</f>
        <v>355.11</v>
      </c>
      <c r="U472" s="25" t="str">
        <f>TEXT(Invoices[[#This Row],[Date]],"MMM")</f>
        <v>Dec</v>
      </c>
      <c r="V472" s="29">
        <f>CHOOSE(MONTH(Invoices[[#This Row],[Date]]),1,1,1,2,2,2,3,3,3,4,4,4)</f>
        <v>4</v>
      </c>
      <c r="W472" s="30">
        <f>IFERROR(Invoices[[#This Row],[Profit]]/Invoices[[#This Row],[Revenue]],0)</f>
        <v>0.70458333333333334</v>
      </c>
    </row>
    <row r="473" spans="1:23" x14ac:dyDescent="0.3">
      <c r="A473" s="19" t="s">
        <v>5</v>
      </c>
      <c r="B473" s="9">
        <v>22963</v>
      </c>
      <c r="C473" s="15">
        <v>41609</v>
      </c>
      <c r="D473" s="9">
        <v>114</v>
      </c>
      <c r="E473" s="10" t="s">
        <v>82</v>
      </c>
      <c r="F473" s="8">
        <v>5</v>
      </c>
      <c r="G473" s="10"/>
      <c r="H473" s="4" t="s">
        <v>121</v>
      </c>
      <c r="I473" s="4" t="s">
        <v>55</v>
      </c>
      <c r="J473" s="4">
        <v>1</v>
      </c>
      <c r="K473" s="23">
        <v>250</v>
      </c>
      <c r="L473">
        <f>IF(Invoices[[#This Row],[Document Type]]="Return",Invoices[[#This Row],[Unit Price]]*-1,Invoices[[#This Row],[Unit Price]])</f>
        <v>250</v>
      </c>
      <c r="M473" t="str">
        <f>IF(Invoices[[#This Row],[New Unit Price]]&lt;0,"Return",
IF(Invoices[[#This Row],[New Unit Price]]=0,"Free",IF(Invoices[[#This Row],[New Unit Price]]&lt;100,"Basic","Premium")))</f>
        <v>Premium</v>
      </c>
      <c r="N473">
        <f>VLOOKUP(Invoices[[#This Row],[Part  '#]],Products[],4,0)</f>
        <v>93.81</v>
      </c>
      <c r="O473" t="str">
        <f>VLOOKUP(Invoices[[#This Row],[Customer Account]],Customers[],4,0)</f>
        <v>Automotive</v>
      </c>
      <c r="P473" t="str">
        <f>VLOOKUP(Invoices[[#This Row],[Customer Account]],Customers[],3,0)</f>
        <v>North Carolina</v>
      </c>
      <c r="Q473" t="str">
        <f>VLOOKUP(Invoices[[#This Row],[Part  '#]],Products[],3,0)</f>
        <v>Accessories</v>
      </c>
      <c r="R473" s="25">
        <f>Invoices[[#This Row],[Quantity]]*Invoices[[#This Row],[Unit Cost]]</f>
        <v>93.81</v>
      </c>
      <c r="S473" s="25">
        <f>Invoices[[#This Row],[Quantity]]*Invoices[[#This Row],[New Unit Price]]</f>
        <v>250</v>
      </c>
      <c r="T473" s="25">
        <f>Invoices[[#This Row],[Revenue]]-Invoices[[#This Row],[Cost]]</f>
        <v>156.19</v>
      </c>
      <c r="U473" s="25" t="str">
        <f>TEXT(Invoices[[#This Row],[Date]],"MMM")</f>
        <v>Dec</v>
      </c>
      <c r="V473" s="29">
        <f>CHOOSE(MONTH(Invoices[[#This Row],[Date]]),1,1,1,2,2,2,3,3,3,4,4,4)</f>
        <v>4</v>
      </c>
      <c r="W473" s="30">
        <f>IFERROR(Invoices[[#This Row],[Profit]]/Invoices[[#This Row],[Revenue]],0)</f>
        <v>0.62475999999999998</v>
      </c>
    </row>
    <row r="474" spans="1:23" x14ac:dyDescent="0.3">
      <c r="A474" s="19" t="s">
        <v>5</v>
      </c>
      <c r="B474" s="9">
        <v>22964</v>
      </c>
      <c r="C474" s="15">
        <v>41609</v>
      </c>
      <c r="D474" s="9">
        <v>115</v>
      </c>
      <c r="E474" s="10" t="s">
        <v>83</v>
      </c>
      <c r="F474" s="8">
        <v>1</v>
      </c>
      <c r="G474" s="10"/>
      <c r="H474" s="4" t="s">
        <v>104</v>
      </c>
      <c r="I474" s="4" t="s">
        <v>17</v>
      </c>
      <c r="J474" s="4">
        <v>2</v>
      </c>
      <c r="K474" s="23">
        <v>2400</v>
      </c>
      <c r="L474">
        <f>IF(Invoices[[#This Row],[Document Type]]="Return",Invoices[[#This Row],[Unit Price]]*-1,Invoices[[#This Row],[Unit Price]])</f>
        <v>2400</v>
      </c>
      <c r="M474" t="str">
        <f>IF(Invoices[[#This Row],[New Unit Price]]&lt;0,"Return",
IF(Invoices[[#This Row],[New Unit Price]]=0,"Free",IF(Invoices[[#This Row],[New Unit Price]]&lt;100,"Basic","Premium")))</f>
        <v>Premium</v>
      </c>
      <c r="N474">
        <f>VLOOKUP(Invoices[[#This Row],[Part  '#]],Products[],4,0)</f>
        <v>1320.2</v>
      </c>
      <c r="O474" t="str">
        <f>VLOOKUP(Invoices[[#This Row],[Customer Account]],Customers[],4,0)</f>
        <v>Automotive</v>
      </c>
      <c r="P474" t="str">
        <f>VLOOKUP(Invoices[[#This Row],[Customer Account]],Customers[],3,0)</f>
        <v>Tennessee</v>
      </c>
      <c r="Q474" t="str">
        <f>VLOOKUP(Invoices[[#This Row],[Part  '#]],Products[],3,0)</f>
        <v>Product</v>
      </c>
      <c r="R474" s="25">
        <f>Invoices[[#This Row],[Quantity]]*Invoices[[#This Row],[Unit Cost]]</f>
        <v>2640.4</v>
      </c>
      <c r="S474" s="25">
        <f>Invoices[[#This Row],[Quantity]]*Invoices[[#This Row],[New Unit Price]]</f>
        <v>4800</v>
      </c>
      <c r="T474" s="25">
        <f>Invoices[[#This Row],[Revenue]]-Invoices[[#This Row],[Cost]]</f>
        <v>2159.6</v>
      </c>
      <c r="U474" s="25" t="str">
        <f>TEXT(Invoices[[#This Row],[Date]],"MMM")</f>
        <v>Dec</v>
      </c>
      <c r="V474" s="29">
        <f>CHOOSE(MONTH(Invoices[[#This Row],[Date]]),1,1,1,2,2,2,3,3,3,4,4,4)</f>
        <v>4</v>
      </c>
      <c r="W474" s="30">
        <f>IFERROR(Invoices[[#This Row],[Profit]]/Invoices[[#This Row],[Revenue]],0)</f>
        <v>0.44991666666666663</v>
      </c>
    </row>
    <row r="475" spans="1:23" x14ac:dyDescent="0.3">
      <c r="A475" s="19" t="s">
        <v>5</v>
      </c>
      <c r="B475" s="9">
        <v>22965</v>
      </c>
      <c r="C475" s="15">
        <v>41609</v>
      </c>
      <c r="D475" s="9">
        <v>115</v>
      </c>
      <c r="E475" s="10" t="s">
        <v>83</v>
      </c>
      <c r="F475" s="8">
        <v>1</v>
      </c>
      <c r="G475" s="10"/>
      <c r="H475" s="4" t="s">
        <v>124</v>
      </c>
      <c r="I475" s="4" t="s">
        <v>39</v>
      </c>
      <c r="J475" s="4">
        <v>20</v>
      </c>
      <c r="K475" s="23">
        <v>35</v>
      </c>
      <c r="L475">
        <f>IF(Invoices[[#This Row],[Document Type]]="Return",Invoices[[#This Row],[Unit Price]]*-1,Invoices[[#This Row],[Unit Price]])</f>
        <v>35</v>
      </c>
      <c r="M475" t="str">
        <f>IF(Invoices[[#This Row],[New Unit Price]]&lt;0,"Return",
IF(Invoices[[#This Row],[New Unit Price]]=0,"Free",IF(Invoices[[#This Row],[New Unit Price]]&lt;100,"Basic","Premium")))</f>
        <v>Basic</v>
      </c>
      <c r="N475">
        <f>VLOOKUP(Invoices[[#This Row],[Part  '#]],Products[],4,0)</f>
        <v>6.37</v>
      </c>
      <c r="O475" t="str">
        <f>VLOOKUP(Invoices[[#This Row],[Customer Account]],Customers[],4,0)</f>
        <v>Automotive</v>
      </c>
      <c r="P475" t="str">
        <f>VLOOKUP(Invoices[[#This Row],[Customer Account]],Customers[],3,0)</f>
        <v>Tennessee</v>
      </c>
      <c r="Q475" t="str">
        <f>VLOOKUP(Invoices[[#This Row],[Part  '#]],Products[],3,0)</f>
        <v>Consumables</v>
      </c>
      <c r="R475" s="25">
        <f>Invoices[[#This Row],[Quantity]]*Invoices[[#This Row],[Unit Cost]]</f>
        <v>127.4</v>
      </c>
      <c r="S475" s="25">
        <f>Invoices[[#This Row],[Quantity]]*Invoices[[#This Row],[New Unit Price]]</f>
        <v>700</v>
      </c>
      <c r="T475" s="25">
        <f>Invoices[[#This Row],[Revenue]]-Invoices[[#This Row],[Cost]]</f>
        <v>572.6</v>
      </c>
      <c r="U475" s="25" t="str">
        <f>TEXT(Invoices[[#This Row],[Date]],"MMM")</f>
        <v>Dec</v>
      </c>
      <c r="V475" s="29">
        <f>CHOOSE(MONTH(Invoices[[#This Row],[Date]]),1,1,1,2,2,2,3,3,3,4,4,4)</f>
        <v>4</v>
      </c>
      <c r="W475" s="30">
        <f>IFERROR(Invoices[[#This Row],[Profit]]/Invoices[[#This Row],[Revenue]],0)</f>
        <v>0.81800000000000006</v>
      </c>
    </row>
    <row r="476" spans="1:23" x14ac:dyDescent="0.3">
      <c r="A476" s="19" t="s">
        <v>5</v>
      </c>
      <c r="B476" s="9">
        <v>22965</v>
      </c>
      <c r="C476" s="15">
        <v>41609</v>
      </c>
      <c r="D476" s="9">
        <v>115</v>
      </c>
      <c r="E476" s="10" t="s">
        <v>83</v>
      </c>
      <c r="F476" s="8">
        <v>2</v>
      </c>
      <c r="G476" s="10"/>
      <c r="H476" s="4" t="s">
        <v>137</v>
      </c>
      <c r="I476" s="4" t="s">
        <v>31</v>
      </c>
      <c r="J476" s="4">
        <v>2</v>
      </c>
      <c r="K476" s="23">
        <v>30</v>
      </c>
      <c r="L476">
        <f>IF(Invoices[[#This Row],[Document Type]]="Return",Invoices[[#This Row],[Unit Price]]*-1,Invoices[[#This Row],[Unit Price]])</f>
        <v>30</v>
      </c>
      <c r="M476" t="str">
        <f>IF(Invoices[[#This Row],[New Unit Price]]&lt;0,"Return",
IF(Invoices[[#This Row],[New Unit Price]]=0,"Free",IF(Invoices[[#This Row],[New Unit Price]]&lt;100,"Basic","Premium")))</f>
        <v>Basic</v>
      </c>
      <c r="N476">
        <f>VLOOKUP(Invoices[[#This Row],[Part  '#]],Products[],4,0)</f>
        <v>6.3</v>
      </c>
      <c r="O476" t="str">
        <f>VLOOKUP(Invoices[[#This Row],[Customer Account]],Customers[],4,0)</f>
        <v>Automotive</v>
      </c>
      <c r="P476" t="str">
        <f>VLOOKUP(Invoices[[#This Row],[Customer Account]],Customers[],3,0)</f>
        <v>Tennessee</v>
      </c>
      <c r="Q476" t="str">
        <f>VLOOKUP(Invoices[[#This Row],[Part  '#]],Products[],3,0)</f>
        <v>Accessories</v>
      </c>
      <c r="R476" s="25">
        <f>Invoices[[#This Row],[Quantity]]*Invoices[[#This Row],[Unit Cost]]</f>
        <v>12.6</v>
      </c>
      <c r="S476" s="25">
        <f>Invoices[[#This Row],[Quantity]]*Invoices[[#This Row],[New Unit Price]]</f>
        <v>60</v>
      </c>
      <c r="T476" s="25">
        <f>Invoices[[#This Row],[Revenue]]-Invoices[[#This Row],[Cost]]</f>
        <v>47.4</v>
      </c>
      <c r="U476" s="25" t="str">
        <f>TEXT(Invoices[[#This Row],[Date]],"MMM")</f>
        <v>Dec</v>
      </c>
      <c r="V476" s="29">
        <f>CHOOSE(MONTH(Invoices[[#This Row],[Date]]),1,1,1,2,2,2,3,3,3,4,4,4)</f>
        <v>4</v>
      </c>
      <c r="W476" s="30">
        <f>IFERROR(Invoices[[#This Row],[Profit]]/Invoices[[#This Row],[Revenue]],0)</f>
        <v>0.78999999999999992</v>
      </c>
    </row>
    <row r="477" spans="1:23" x14ac:dyDescent="0.3">
      <c r="A477" s="19" t="s">
        <v>5</v>
      </c>
      <c r="B477" s="9">
        <v>22965</v>
      </c>
      <c r="C477" s="15">
        <v>41609</v>
      </c>
      <c r="D477" s="9">
        <v>115</v>
      </c>
      <c r="E477" s="10" t="s">
        <v>83</v>
      </c>
      <c r="F477" s="8">
        <v>2</v>
      </c>
      <c r="G477" s="10"/>
      <c r="H477" s="4" t="s">
        <v>132</v>
      </c>
      <c r="I477" s="4" t="s">
        <v>49</v>
      </c>
      <c r="J477" s="4">
        <v>5</v>
      </c>
      <c r="K477" s="23">
        <v>70</v>
      </c>
      <c r="L477">
        <f>IF(Invoices[[#This Row],[Document Type]]="Return",Invoices[[#This Row],[Unit Price]]*-1,Invoices[[#This Row],[Unit Price]])</f>
        <v>70</v>
      </c>
      <c r="M477" t="str">
        <f>IF(Invoices[[#This Row],[New Unit Price]]&lt;0,"Return",
IF(Invoices[[#This Row],[New Unit Price]]=0,"Free",IF(Invoices[[#This Row],[New Unit Price]]&lt;100,"Basic","Premium")))</f>
        <v>Basic</v>
      </c>
      <c r="N477">
        <f>VLOOKUP(Invoices[[#This Row],[Part  '#]],Products[],4,0)</f>
        <v>13.92</v>
      </c>
      <c r="O477" t="str">
        <f>VLOOKUP(Invoices[[#This Row],[Customer Account]],Customers[],4,0)</f>
        <v>Automotive</v>
      </c>
      <c r="P477" t="str">
        <f>VLOOKUP(Invoices[[#This Row],[Customer Account]],Customers[],3,0)</f>
        <v>Tennessee</v>
      </c>
      <c r="Q477" t="str">
        <f>VLOOKUP(Invoices[[#This Row],[Part  '#]],Products[],3,0)</f>
        <v>Consumables</v>
      </c>
      <c r="R477" s="25">
        <f>Invoices[[#This Row],[Quantity]]*Invoices[[#This Row],[Unit Cost]]</f>
        <v>69.599999999999994</v>
      </c>
      <c r="S477" s="25">
        <f>Invoices[[#This Row],[Quantity]]*Invoices[[#This Row],[New Unit Price]]</f>
        <v>350</v>
      </c>
      <c r="T477" s="25">
        <f>Invoices[[#This Row],[Revenue]]-Invoices[[#This Row],[Cost]]</f>
        <v>280.39999999999998</v>
      </c>
      <c r="U477" s="25" t="str">
        <f>TEXT(Invoices[[#This Row],[Date]],"MMM")</f>
        <v>Dec</v>
      </c>
      <c r="V477" s="29">
        <f>CHOOSE(MONTH(Invoices[[#This Row],[Date]]),1,1,1,2,2,2,3,3,3,4,4,4)</f>
        <v>4</v>
      </c>
      <c r="W477" s="30">
        <f>IFERROR(Invoices[[#This Row],[Profit]]/Invoices[[#This Row],[Revenue]],0)</f>
        <v>0.80114285714285705</v>
      </c>
    </row>
    <row r="478" spans="1:23" x14ac:dyDescent="0.3">
      <c r="A478" s="19" t="s">
        <v>5</v>
      </c>
      <c r="B478" s="9">
        <v>22965</v>
      </c>
      <c r="C478" s="15">
        <v>41609</v>
      </c>
      <c r="D478" s="9">
        <v>115</v>
      </c>
      <c r="E478" s="10" t="s">
        <v>83</v>
      </c>
      <c r="F478" s="8">
        <v>3</v>
      </c>
      <c r="G478" s="10"/>
      <c r="H478" s="4" t="s">
        <v>117</v>
      </c>
      <c r="I478" s="4" t="s">
        <v>33</v>
      </c>
      <c r="J478" s="4">
        <v>2</v>
      </c>
      <c r="K478" s="23">
        <v>30</v>
      </c>
      <c r="L478">
        <f>IF(Invoices[[#This Row],[Document Type]]="Return",Invoices[[#This Row],[Unit Price]]*-1,Invoices[[#This Row],[Unit Price]])</f>
        <v>30</v>
      </c>
      <c r="M478" t="str">
        <f>IF(Invoices[[#This Row],[New Unit Price]]&lt;0,"Return",
IF(Invoices[[#This Row],[New Unit Price]]=0,"Free",IF(Invoices[[#This Row],[New Unit Price]]&lt;100,"Basic","Premium")))</f>
        <v>Basic</v>
      </c>
      <c r="N478">
        <f>VLOOKUP(Invoices[[#This Row],[Part  '#]],Products[],4,0)</f>
        <v>11.59</v>
      </c>
      <c r="O478" t="str">
        <f>VLOOKUP(Invoices[[#This Row],[Customer Account]],Customers[],4,0)</f>
        <v>Automotive</v>
      </c>
      <c r="P478" t="str">
        <f>VLOOKUP(Invoices[[#This Row],[Customer Account]],Customers[],3,0)</f>
        <v>Tennessee</v>
      </c>
      <c r="Q478" t="str">
        <f>VLOOKUP(Invoices[[#This Row],[Part  '#]],Products[],3,0)</f>
        <v>Accessories</v>
      </c>
      <c r="R478" s="25">
        <f>Invoices[[#This Row],[Quantity]]*Invoices[[#This Row],[Unit Cost]]</f>
        <v>23.18</v>
      </c>
      <c r="S478" s="25">
        <f>Invoices[[#This Row],[Quantity]]*Invoices[[#This Row],[New Unit Price]]</f>
        <v>60</v>
      </c>
      <c r="T478" s="25">
        <f>Invoices[[#This Row],[Revenue]]-Invoices[[#This Row],[Cost]]</f>
        <v>36.82</v>
      </c>
      <c r="U478" s="25" t="str">
        <f>TEXT(Invoices[[#This Row],[Date]],"MMM")</f>
        <v>Dec</v>
      </c>
      <c r="V478" s="29">
        <f>CHOOSE(MONTH(Invoices[[#This Row],[Date]]),1,1,1,2,2,2,3,3,3,4,4,4)</f>
        <v>4</v>
      </c>
      <c r="W478" s="30">
        <f>IFERROR(Invoices[[#This Row],[Profit]]/Invoices[[#This Row],[Revenue]],0)</f>
        <v>0.61366666666666669</v>
      </c>
    </row>
    <row r="479" spans="1:23" x14ac:dyDescent="0.3">
      <c r="A479" s="19" t="s">
        <v>5</v>
      </c>
      <c r="B479" s="9">
        <v>22965</v>
      </c>
      <c r="C479" s="15">
        <v>41609</v>
      </c>
      <c r="D479" s="9">
        <v>115</v>
      </c>
      <c r="E479" s="10" t="s">
        <v>83</v>
      </c>
      <c r="F479" s="8">
        <v>4</v>
      </c>
      <c r="G479" s="10"/>
      <c r="H479" s="4" t="s">
        <v>119</v>
      </c>
      <c r="I479" s="4" t="s">
        <v>43</v>
      </c>
      <c r="J479" s="4">
        <v>2</v>
      </c>
      <c r="K479" s="23">
        <v>60</v>
      </c>
      <c r="L479">
        <f>IF(Invoices[[#This Row],[Document Type]]="Return",Invoices[[#This Row],[Unit Price]]*-1,Invoices[[#This Row],[Unit Price]])</f>
        <v>60</v>
      </c>
      <c r="M479" t="str">
        <f>IF(Invoices[[#This Row],[New Unit Price]]&lt;0,"Return",
IF(Invoices[[#This Row],[New Unit Price]]=0,"Free",IF(Invoices[[#This Row],[New Unit Price]]&lt;100,"Basic","Premium")))</f>
        <v>Basic</v>
      </c>
      <c r="N479">
        <f>VLOOKUP(Invoices[[#This Row],[Part  '#]],Products[],4,0)</f>
        <v>17.22</v>
      </c>
      <c r="O479" t="str">
        <f>VLOOKUP(Invoices[[#This Row],[Customer Account]],Customers[],4,0)</f>
        <v>Automotive</v>
      </c>
      <c r="P479" t="str">
        <f>VLOOKUP(Invoices[[#This Row],[Customer Account]],Customers[],3,0)</f>
        <v>Tennessee</v>
      </c>
      <c r="Q479" t="str">
        <f>VLOOKUP(Invoices[[#This Row],[Part  '#]],Products[],3,0)</f>
        <v>Accessories</v>
      </c>
      <c r="R479" s="25">
        <f>Invoices[[#This Row],[Quantity]]*Invoices[[#This Row],[Unit Cost]]</f>
        <v>34.44</v>
      </c>
      <c r="S479" s="25">
        <f>Invoices[[#This Row],[Quantity]]*Invoices[[#This Row],[New Unit Price]]</f>
        <v>120</v>
      </c>
      <c r="T479" s="25">
        <f>Invoices[[#This Row],[Revenue]]-Invoices[[#This Row],[Cost]]</f>
        <v>85.56</v>
      </c>
      <c r="U479" s="25" t="str">
        <f>TEXT(Invoices[[#This Row],[Date]],"MMM")</f>
        <v>Dec</v>
      </c>
      <c r="V479" s="29">
        <f>CHOOSE(MONTH(Invoices[[#This Row],[Date]]),1,1,1,2,2,2,3,3,3,4,4,4)</f>
        <v>4</v>
      </c>
      <c r="W479" s="30">
        <f>IFERROR(Invoices[[#This Row],[Profit]]/Invoices[[#This Row],[Revenue]],0)</f>
        <v>0.71299999999999997</v>
      </c>
    </row>
    <row r="480" spans="1:23" x14ac:dyDescent="0.3">
      <c r="A480" s="19" t="s">
        <v>5</v>
      </c>
      <c r="B480" s="9">
        <v>22965</v>
      </c>
      <c r="C480" s="15">
        <v>41609</v>
      </c>
      <c r="D480" s="9">
        <v>115</v>
      </c>
      <c r="E480" s="10" t="s">
        <v>83</v>
      </c>
      <c r="F480" s="8">
        <v>5</v>
      </c>
      <c r="G480" s="10"/>
      <c r="H480" s="4" t="s">
        <v>121</v>
      </c>
      <c r="I480" s="4" t="s">
        <v>55</v>
      </c>
      <c r="J480" s="4">
        <v>1</v>
      </c>
      <c r="K480" s="23">
        <v>250</v>
      </c>
      <c r="L480">
        <f>IF(Invoices[[#This Row],[Document Type]]="Return",Invoices[[#This Row],[Unit Price]]*-1,Invoices[[#This Row],[Unit Price]])</f>
        <v>250</v>
      </c>
      <c r="M480" t="str">
        <f>IF(Invoices[[#This Row],[New Unit Price]]&lt;0,"Return",
IF(Invoices[[#This Row],[New Unit Price]]=0,"Free",IF(Invoices[[#This Row],[New Unit Price]]&lt;100,"Basic","Premium")))</f>
        <v>Premium</v>
      </c>
      <c r="N480">
        <f>VLOOKUP(Invoices[[#This Row],[Part  '#]],Products[],4,0)</f>
        <v>93.81</v>
      </c>
      <c r="O480" t="str">
        <f>VLOOKUP(Invoices[[#This Row],[Customer Account]],Customers[],4,0)</f>
        <v>Automotive</v>
      </c>
      <c r="P480" t="str">
        <f>VLOOKUP(Invoices[[#This Row],[Customer Account]],Customers[],3,0)</f>
        <v>Tennessee</v>
      </c>
      <c r="Q480" t="str">
        <f>VLOOKUP(Invoices[[#This Row],[Part  '#]],Products[],3,0)</f>
        <v>Accessories</v>
      </c>
      <c r="R480" s="25">
        <f>Invoices[[#This Row],[Quantity]]*Invoices[[#This Row],[Unit Cost]]</f>
        <v>93.81</v>
      </c>
      <c r="S480" s="25">
        <f>Invoices[[#This Row],[Quantity]]*Invoices[[#This Row],[New Unit Price]]</f>
        <v>250</v>
      </c>
      <c r="T480" s="25">
        <f>Invoices[[#This Row],[Revenue]]-Invoices[[#This Row],[Cost]]</f>
        <v>156.19</v>
      </c>
      <c r="U480" s="25" t="str">
        <f>TEXT(Invoices[[#This Row],[Date]],"MMM")</f>
        <v>Dec</v>
      </c>
      <c r="V480" s="29">
        <f>CHOOSE(MONTH(Invoices[[#This Row],[Date]]),1,1,1,2,2,2,3,3,3,4,4,4)</f>
        <v>4</v>
      </c>
      <c r="W480" s="30">
        <f>IFERROR(Invoices[[#This Row],[Profit]]/Invoices[[#This Row],[Revenue]],0)</f>
        <v>0.62475999999999998</v>
      </c>
    </row>
    <row r="481" spans="1:23" x14ac:dyDescent="0.3">
      <c r="A481" s="19" t="s">
        <v>5</v>
      </c>
      <c r="B481" s="9">
        <v>22966</v>
      </c>
      <c r="C481" s="15">
        <v>41609</v>
      </c>
      <c r="D481" s="9">
        <v>116</v>
      </c>
      <c r="E481" s="10" t="s">
        <v>84</v>
      </c>
      <c r="F481" s="8">
        <v>1</v>
      </c>
      <c r="G481" s="10"/>
      <c r="H481" s="4" t="s">
        <v>125</v>
      </c>
      <c r="I481" s="4" t="s">
        <v>40</v>
      </c>
      <c r="J481" s="4">
        <v>50</v>
      </c>
      <c r="K481" s="23">
        <v>30</v>
      </c>
      <c r="L481">
        <f>IF(Invoices[[#This Row],[Document Type]]="Return",Invoices[[#This Row],[Unit Price]]*-1,Invoices[[#This Row],[Unit Price]])</f>
        <v>30</v>
      </c>
      <c r="M481" t="str">
        <f>IF(Invoices[[#This Row],[New Unit Price]]&lt;0,"Return",
IF(Invoices[[#This Row],[New Unit Price]]=0,"Free",IF(Invoices[[#This Row],[New Unit Price]]&lt;100,"Basic","Premium")))</f>
        <v>Basic</v>
      </c>
      <c r="N481">
        <f>VLOOKUP(Invoices[[#This Row],[Part  '#]],Products[],4,0)</f>
        <v>6.9</v>
      </c>
      <c r="O481" t="str">
        <f>VLOOKUP(Invoices[[#This Row],[Customer Account]],Customers[],4,0)</f>
        <v>Automotive</v>
      </c>
      <c r="P481" t="str">
        <f>VLOOKUP(Invoices[[#This Row],[Customer Account]],Customers[],3,0)</f>
        <v>Tennessee</v>
      </c>
      <c r="Q481" t="str">
        <f>VLOOKUP(Invoices[[#This Row],[Part  '#]],Products[],3,0)</f>
        <v>Consumables</v>
      </c>
      <c r="R481" s="25">
        <f>Invoices[[#This Row],[Quantity]]*Invoices[[#This Row],[Unit Cost]]</f>
        <v>345</v>
      </c>
      <c r="S481" s="25">
        <f>Invoices[[#This Row],[Quantity]]*Invoices[[#This Row],[New Unit Price]]</f>
        <v>1500</v>
      </c>
      <c r="T481" s="25">
        <f>Invoices[[#This Row],[Revenue]]-Invoices[[#This Row],[Cost]]</f>
        <v>1155</v>
      </c>
      <c r="U481" s="25" t="str">
        <f>TEXT(Invoices[[#This Row],[Date]],"MMM")</f>
        <v>Dec</v>
      </c>
      <c r="V481" s="29">
        <f>CHOOSE(MONTH(Invoices[[#This Row],[Date]]),1,1,1,2,2,2,3,3,3,4,4,4)</f>
        <v>4</v>
      </c>
      <c r="W481" s="30">
        <f>IFERROR(Invoices[[#This Row],[Profit]]/Invoices[[#This Row],[Revenue]],0)</f>
        <v>0.77</v>
      </c>
    </row>
    <row r="482" spans="1:23" x14ac:dyDescent="0.3">
      <c r="A482" s="19" t="s">
        <v>5</v>
      </c>
      <c r="B482" s="9">
        <v>22966</v>
      </c>
      <c r="C482" s="15">
        <v>41609</v>
      </c>
      <c r="D482" s="9">
        <v>116</v>
      </c>
      <c r="E482" s="10" t="s">
        <v>84</v>
      </c>
      <c r="F482" s="8">
        <v>2</v>
      </c>
      <c r="G482" s="10"/>
      <c r="H482" s="4" t="s">
        <v>132</v>
      </c>
      <c r="I482" s="4" t="s">
        <v>49</v>
      </c>
      <c r="J482" s="4">
        <v>20</v>
      </c>
      <c r="K482" s="23">
        <v>70</v>
      </c>
      <c r="L482">
        <f>IF(Invoices[[#This Row],[Document Type]]="Return",Invoices[[#This Row],[Unit Price]]*-1,Invoices[[#This Row],[Unit Price]])</f>
        <v>70</v>
      </c>
      <c r="M482" t="str">
        <f>IF(Invoices[[#This Row],[New Unit Price]]&lt;0,"Return",
IF(Invoices[[#This Row],[New Unit Price]]=0,"Free",IF(Invoices[[#This Row],[New Unit Price]]&lt;100,"Basic","Premium")))</f>
        <v>Basic</v>
      </c>
      <c r="N482">
        <f>VLOOKUP(Invoices[[#This Row],[Part  '#]],Products[],4,0)</f>
        <v>13.92</v>
      </c>
      <c r="O482" t="str">
        <f>VLOOKUP(Invoices[[#This Row],[Customer Account]],Customers[],4,0)</f>
        <v>Automotive</v>
      </c>
      <c r="P482" t="str">
        <f>VLOOKUP(Invoices[[#This Row],[Customer Account]],Customers[],3,0)</f>
        <v>Tennessee</v>
      </c>
      <c r="Q482" t="str">
        <f>VLOOKUP(Invoices[[#This Row],[Part  '#]],Products[],3,0)</f>
        <v>Consumables</v>
      </c>
      <c r="R482" s="25">
        <f>Invoices[[#This Row],[Quantity]]*Invoices[[#This Row],[Unit Cost]]</f>
        <v>278.39999999999998</v>
      </c>
      <c r="S482" s="25">
        <f>Invoices[[#This Row],[Quantity]]*Invoices[[#This Row],[New Unit Price]]</f>
        <v>1400</v>
      </c>
      <c r="T482" s="25">
        <f>Invoices[[#This Row],[Revenue]]-Invoices[[#This Row],[Cost]]</f>
        <v>1121.5999999999999</v>
      </c>
      <c r="U482" s="25" t="str">
        <f>TEXT(Invoices[[#This Row],[Date]],"MMM")</f>
        <v>Dec</v>
      </c>
      <c r="V482" s="29">
        <f>CHOOSE(MONTH(Invoices[[#This Row],[Date]]),1,1,1,2,2,2,3,3,3,4,4,4)</f>
        <v>4</v>
      </c>
      <c r="W482" s="30">
        <f>IFERROR(Invoices[[#This Row],[Profit]]/Invoices[[#This Row],[Revenue]],0)</f>
        <v>0.80114285714285705</v>
      </c>
    </row>
    <row r="483" spans="1:23" x14ac:dyDescent="0.3">
      <c r="A483" s="19" t="s">
        <v>5</v>
      </c>
      <c r="B483" s="9">
        <v>22966</v>
      </c>
      <c r="C483" s="15">
        <v>41609</v>
      </c>
      <c r="D483" s="9">
        <v>116</v>
      </c>
      <c r="E483" s="10" t="s">
        <v>84</v>
      </c>
      <c r="F483" s="8">
        <v>3</v>
      </c>
      <c r="G483" s="10"/>
      <c r="H483" s="4" t="s">
        <v>121</v>
      </c>
      <c r="I483" s="4" t="s">
        <v>55</v>
      </c>
      <c r="J483" s="4">
        <v>2</v>
      </c>
      <c r="K483" s="23">
        <v>250</v>
      </c>
      <c r="L483">
        <f>IF(Invoices[[#This Row],[Document Type]]="Return",Invoices[[#This Row],[Unit Price]]*-1,Invoices[[#This Row],[Unit Price]])</f>
        <v>250</v>
      </c>
      <c r="M483" t="str">
        <f>IF(Invoices[[#This Row],[New Unit Price]]&lt;0,"Return",
IF(Invoices[[#This Row],[New Unit Price]]=0,"Free",IF(Invoices[[#This Row],[New Unit Price]]&lt;100,"Basic","Premium")))</f>
        <v>Premium</v>
      </c>
      <c r="N483">
        <f>VLOOKUP(Invoices[[#This Row],[Part  '#]],Products[],4,0)</f>
        <v>93.81</v>
      </c>
      <c r="O483" t="str">
        <f>VLOOKUP(Invoices[[#This Row],[Customer Account]],Customers[],4,0)</f>
        <v>Automotive</v>
      </c>
      <c r="P483" t="str">
        <f>VLOOKUP(Invoices[[#This Row],[Customer Account]],Customers[],3,0)</f>
        <v>Tennessee</v>
      </c>
      <c r="Q483" t="str">
        <f>VLOOKUP(Invoices[[#This Row],[Part  '#]],Products[],3,0)</f>
        <v>Accessories</v>
      </c>
      <c r="R483" s="25">
        <f>Invoices[[#This Row],[Quantity]]*Invoices[[#This Row],[Unit Cost]]</f>
        <v>187.62</v>
      </c>
      <c r="S483" s="25">
        <f>Invoices[[#This Row],[Quantity]]*Invoices[[#This Row],[New Unit Price]]</f>
        <v>500</v>
      </c>
      <c r="T483" s="25">
        <f>Invoices[[#This Row],[Revenue]]-Invoices[[#This Row],[Cost]]</f>
        <v>312.38</v>
      </c>
      <c r="U483" s="25" t="str">
        <f>TEXT(Invoices[[#This Row],[Date]],"MMM")</f>
        <v>Dec</v>
      </c>
      <c r="V483" s="29">
        <f>CHOOSE(MONTH(Invoices[[#This Row],[Date]]),1,1,1,2,2,2,3,3,3,4,4,4)</f>
        <v>4</v>
      </c>
      <c r="W483" s="30">
        <f>IFERROR(Invoices[[#This Row],[Profit]]/Invoices[[#This Row],[Revenue]],0)</f>
        <v>0.62475999999999998</v>
      </c>
    </row>
    <row r="484" spans="1:23" x14ac:dyDescent="0.3">
      <c r="A484" s="19" t="s">
        <v>5</v>
      </c>
      <c r="B484" s="9">
        <v>22966</v>
      </c>
      <c r="C484" s="15">
        <v>41609</v>
      </c>
      <c r="D484" s="9">
        <v>116</v>
      </c>
      <c r="E484" s="10" t="s">
        <v>84</v>
      </c>
      <c r="F484" s="8">
        <v>4</v>
      </c>
      <c r="G484" s="10"/>
      <c r="H484" s="4" t="s">
        <v>127</v>
      </c>
      <c r="I484" s="4" t="s">
        <v>44</v>
      </c>
      <c r="J484" s="4">
        <v>100</v>
      </c>
      <c r="K484" s="23">
        <v>12</v>
      </c>
      <c r="L484">
        <f>IF(Invoices[[#This Row],[Document Type]]="Return",Invoices[[#This Row],[Unit Price]]*-1,Invoices[[#This Row],[Unit Price]])</f>
        <v>12</v>
      </c>
      <c r="M484" t="str">
        <f>IF(Invoices[[#This Row],[New Unit Price]]&lt;0,"Return",
IF(Invoices[[#This Row],[New Unit Price]]=0,"Free",IF(Invoices[[#This Row],[New Unit Price]]&lt;100,"Basic","Premium")))</f>
        <v>Basic</v>
      </c>
      <c r="N484">
        <f>VLOOKUP(Invoices[[#This Row],[Part  '#]],Products[],4,0)</f>
        <v>3.43</v>
      </c>
      <c r="O484" t="str">
        <f>VLOOKUP(Invoices[[#This Row],[Customer Account]],Customers[],4,0)</f>
        <v>Automotive</v>
      </c>
      <c r="P484" t="str">
        <f>VLOOKUP(Invoices[[#This Row],[Customer Account]],Customers[],3,0)</f>
        <v>Tennessee</v>
      </c>
      <c r="Q484" t="str">
        <f>VLOOKUP(Invoices[[#This Row],[Part  '#]],Products[],3,0)</f>
        <v>Consumables</v>
      </c>
      <c r="R484" s="25">
        <f>Invoices[[#This Row],[Quantity]]*Invoices[[#This Row],[Unit Cost]]</f>
        <v>343</v>
      </c>
      <c r="S484" s="25">
        <f>Invoices[[#This Row],[Quantity]]*Invoices[[#This Row],[New Unit Price]]</f>
        <v>1200</v>
      </c>
      <c r="T484" s="25">
        <f>Invoices[[#This Row],[Revenue]]-Invoices[[#This Row],[Cost]]</f>
        <v>857</v>
      </c>
      <c r="U484" s="25" t="str">
        <f>TEXT(Invoices[[#This Row],[Date]],"MMM")</f>
        <v>Dec</v>
      </c>
      <c r="V484" s="29">
        <f>CHOOSE(MONTH(Invoices[[#This Row],[Date]]),1,1,1,2,2,2,3,3,3,4,4,4)</f>
        <v>4</v>
      </c>
      <c r="W484" s="30">
        <f>IFERROR(Invoices[[#This Row],[Profit]]/Invoices[[#This Row],[Revenue]],0)</f>
        <v>0.71416666666666662</v>
      </c>
    </row>
    <row r="485" spans="1:23" x14ac:dyDescent="0.3">
      <c r="A485" s="19" t="s">
        <v>5</v>
      </c>
      <c r="B485" s="9">
        <v>22966</v>
      </c>
      <c r="C485" s="15">
        <v>41609</v>
      </c>
      <c r="D485" s="9">
        <v>116</v>
      </c>
      <c r="E485" s="10" t="s">
        <v>84</v>
      </c>
      <c r="F485" s="8">
        <v>5</v>
      </c>
      <c r="G485" s="10"/>
      <c r="H485" s="4" t="s">
        <v>135</v>
      </c>
      <c r="I485" s="4" t="s">
        <v>52</v>
      </c>
      <c r="J485" s="4">
        <v>25</v>
      </c>
      <c r="K485" s="23">
        <v>100</v>
      </c>
      <c r="L485">
        <f>IF(Invoices[[#This Row],[Document Type]]="Return",Invoices[[#This Row],[Unit Price]]*-1,Invoices[[#This Row],[Unit Price]])</f>
        <v>100</v>
      </c>
      <c r="M485" t="str">
        <f>IF(Invoices[[#This Row],[New Unit Price]]&lt;0,"Return",
IF(Invoices[[#This Row],[New Unit Price]]=0,"Free",IF(Invoices[[#This Row],[New Unit Price]]&lt;100,"Basic","Premium")))</f>
        <v>Premium</v>
      </c>
      <c r="N485">
        <f>VLOOKUP(Invoices[[#This Row],[Part  '#]],Products[],4,0)</f>
        <v>27.17</v>
      </c>
      <c r="O485" t="str">
        <f>VLOOKUP(Invoices[[#This Row],[Customer Account]],Customers[],4,0)</f>
        <v>Automotive</v>
      </c>
      <c r="P485" t="str">
        <f>VLOOKUP(Invoices[[#This Row],[Customer Account]],Customers[],3,0)</f>
        <v>Tennessee</v>
      </c>
      <c r="Q485" t="str">
        <f>VLOOKUP(Invoices[[#This Row],[Part  '#]],Products[],3,0)</f>
        <v>Consumables</v>
      </c>
      <c r="R485" s="25">
        <f>Invoices[[#This Row],[Quantity]]*Invoices[[#This Row],[Unit Cost]]</f>
        <v>679.25</v>
      </c>
      <c r="S485" s="25">
        <f>Invoices[[#This Row],[Quantity]]*Invoices[[#This Row],[New Unit Price]]</f>
        <v>2500</v>
      </c>
      <c r="T485" s="25">
        <f>Invoices[[#This Row],[Revenue]]-Invoices[[#This Row],[Cost]]</f>
        <v>1820.75</v>
      </c>
      <c r="U485" s="25" t="str">
        <f>TEXT(Invoices[[#This Row],[Date]],"MMM")</f>
        <v>Dec</v>
      </c>
      <c r="V485" s="29">
        <f>CHOOSE(MONTH(Invoices[[#This Row],[Date]]),1,1,1,2,2,2,3,3,3,4,4,4)</f>
        <v>4</v>
      </c>
      <c r="W485" s="30">
        <f>IFERROR(Invoices[[#This Row],[Profit]]/Invoices[[#This Row],[Revenue]],0)</f>
        <v>0.72829999999999995</v>
      </c>
    </row>
    <row r="486" spans="1:23" x14ac:dyDescent="0.3">
      <c r="A486" s="19" t="s">
        <v>5</v>
      </c>
      <c r="B486" s="9">
        <v>22967</v>
      </c>
      <c r="C486" s="15">
        <v>41609</v>
      </c>
      <c r="D486" s="9">
        <v>117</v>
      </c>
      <c r="E486" s="10" t="s">
        <v>85</v>
      </c>
      <c r="F486" s="8">
        <v>1</v>
      </c>
      <c r="G486" s="10"/>
      <c r="H486" s="4" t="s">
        <v>125</v>
      </c>
      <c r="I486" s="4" t="s">
        <v>40</v>
      </c>
      <c r="J486" s="4">
        <v>12</v>
      </c>
      <c r="K486" s="23">
        <v>30</v>
      </c>
      <c r="L486">
        <f>IF(Invoices[[#This Row],[Document Type]]="Return",Invoices[[#This Row],[Unit Price]]*-1,Invoices[[#This Row],[Unit Price]])</f>
        <v>30</v>
      </c>
      <c r="M486" t="str">
        <f>IF(Invoices[[#This Row],[New Unit Price]]&lt;0,"Return",
IF(Invoices[[#This Row],[New Unit Price]]=0,"Free",IF(Invoices[[#This Row],[New Unit Price]]&lt;100,"Basic","Premium")))</f>
        <v>Basic</v>
      </c>
      <c r="N486">
        <f>VLOOKUP(Invoices[[#This Row],[Part  '#]],Products[],4,0)</f>
        <v>6.9</v>
      </c>
      <c r="O486" t="str">
        <f>VLOOKUP(Invoices[[#This Row],[Customer Account]],Customers[],4,0)</f>
        <v>Automotive</v>
      </c>
      <c r="P486" t="str">
        <f>VLOOKUP(Invoices[[#This Row],[Customer Account]],Customers[],3,0)</f>
        <v>Georgia</v>
      </c>
      <c r="Q486" t="str">
        <f>VLOOKUP(Invoices[[#This Row],[Part  '#]],Products[],3,0)</f>
        <v>Consumables</v>
      </c>
      <c r="R486" s="25">
        <f>Invoices[[#This Row],[Quantity]]*Invoices[[#This Row],[Unit Cost]]</f>
        <v>82.800000000000011</v>
      </c>
      <c r="S486" s="25">
        <f>Invoices[[#This Row],[Quantity]]*Invoices[[#This Row],[New Unit Price]]</f>
        <v>360</v>
      </c>
      <c r="T486" s="25">
        <f>Invoices[[#This Row],[Revenue]]-Invoices[[#This Row],[Cost]]</f>
        <v>277.2</v>
      </c>
      <c r="U486" s="25" t="str">
        <f>TEXT(Invoices[[#This Row],[Date]],"MMM")</f>
        <v>Dec</v>
      </c>
      <c r="V486" s="29">
        <f>CHOOSE(MONTH(Invoices[[#This Row],[Date]]),1,1,1,2,2,2,3,3,3,4,4,4)</f>
        <v>4</v>
      </c>
      <c r="W486" s="30">
        <f>IFERROR(Invoices[[#This Row],[Profit]]/Invoices[[#This Row],[Revenue]],0)</f>
        <v>0.77</v>
      </c>
    </row>
    <row r="487" spans="1:23" x14ac:dyDescent="0.3">
      <c r="A487" s="19" t="s">
        <v>5</v>
      </c>
      <c r="B487" s="9">
        <v>22967</v>
      </c>
      <c r="C487" s="15">
        <v>41609</v>
      </c>
      <c r="D487" s="9">
        <v>117</v>
      </c>
      <c r="E487" s="10" t="s">
        <v>85</v>
      </c>
      <c r="F487" s="8">
        <v>2</v>
      </c>
      <c r="G487" s="10"/>
      <c r="H487" s="4" t="s">
        <v>132</v>
      </c>
      <c r="I487" s="4" t="s">
        <v>49</v>
      </c>
      <c r="J487" s="4">
        <v>12</v>
      </c>
      <c r="K487" s="23">
        <v>70</v>
      </c>
      <c r="L487">
        <f>IF(Invoices[[#This Row],[Document Type]]="Return",Invoices[[#This Row],[Unit Price]]*-1,Invoices[[#This Row],[Unit Price]])</f>
        <v>70</v>
      </c>
      <c r="M487" t="str">
        <f>IF(Invoices[[#This Row],[New Unit Price]]&lt;0,"Return",
IF(Invoices[[#This Row],[New Unit Price]]=0,"Free",IF(Invoices[[#This Row],[New Unit Price]]&lt;100,"Basic","Premium")))</f>
        <v>Basic</v>
      </c>
      <c r="N487">
        <f>VLOOKUP(Invoices[[#This Row],[Part  '#]],Products[],4,0)</f>
        <v>13.92</v>
      </c>
      <c r="O487" t="str">
        <f>VLOOKUP(Invoices[[#This Row],[Customer Account]],Customers[],4,0)</f>
        <v>Automotive</v>
      </c>
      <c r="P487" t="str">
        <f>VLOOKUP(Invoices[[#This Row],[Customer Account]],Customers[],3,0)</f>
        <v>Georgia</v>
      </c>
      <c r="Q487" t="str">
        <f>VLOOKUP(Invoices[[#This Row],[Part  '#]],Products[],3,0)</f>
        <v>Consumables</v>
      </c>
      <c r="R487" s="25">
        <f>Invoices[[#This Row],[Quantity]]*Invoices[[#This Row],[Unit Cost]]</f>
        <v>167.04</v>
      </c>
      <c r="S487" s="25">
        <f>Invoices[[#This Row],[Quantity]]*Invoices[[#This Row],[New Unit Price]]</f>
        <v>840</v>
      </c>
      <c r="T487" s="25">
        <f>Invoices[[#This Row],[Revenue]]-Invoices[[#This Row],[Cost]]</f>
        <v>672.96</v>
      </c>
      <c r="U487" s="25" t="str">
        <f>TEXT(Invoices[[#This Row],[Date]],"MMM")</f>
        <v>Dec</v>
      </c>
      <c r="V487" s="29">
        <f>CHOOSE(MONTH(Invoices[[#This Row],[Date]]),1,1,1,2,2,2,3,3,3,4,4,4)</f>
        <v>4</v>
      </c>
      <c r="W487" s="30">
        <f>IFERROR(Invoices[[#This Row],[Profit]]/Invoices[[#This Row],[Revenue]],0)</f>
        <v>0.80114285714285716</v>
      </c>
    </row>
    <row r="488" spans="1:23" x14ac:dyDescent="0.3">
      <c r="A488" s="19" t="s">
        <v>5</v>
      </c>
      <c r="B488" s="9">
        <v>22968</v>
      </c>
      <c r="C488" s="15">
        <v>41609</v>
      </c>
      <c r="D488" s="9">
        <v>118</v>
      </c>
      <c r="E488" s="10" t="s">
        <v>86</v>
      </c>
      <c r="F488" s="8">
        <v>1</v>
      </c>
      <c r="G488" s="10"/>
      <c r="H488" s="4" t="s">
        <v>97</v>
      </c>
      <c r="I488" s="4" t="s">
        <v>15</v>
      </c>
      <c r="J488" s="4">
        <v>10</v>
      </c>
      <c r="K488" s="23">
        <v>350</v>
      </c>
      <c r="L488">
        <f>IF(Invoices[[#This Row],[Document Type]]="Return",Invoices[[#This Row],[Unit Price]]*-1,Invoices[[#This Row],[Unit Price]])</f>
        <v>350</v>
      </c>
      <c r="M488" t="str">
        <f>IF(Invoices[[#This Row],[New Unit Price]]&lt;0,"Return",
IF(Invoices[[#This Row],[New Unit Price]]=0,"Free",IF(Invoices[[#This Row],[New Unit Price]]&lt;100,"Basic","Premium")))</f>
        <v>Premium</v>
      </c>
      <c r="N488">
        <f>VLOOKUP(Invoices[[#This Row],[Part  '#]],Products[],4,0)</f>
        <v>212.19</v>
      </c>
      <c r="O488" t="str">
        <f>VLOOKUP(Invoices[[#This Row],[Customer Account]],Customers[],4,0)</f>
        <v>Financial</v>
      </c>
      <c r="P488" t="str">
        <f>VLOOKUP(Invoices[[#This Row],[Customer Account]],Customers[],3,0)</f>
        <v>Georgia</v>
      </c>
      <c r="Q488" t="str">
        <f>VLOOKUP(Invoices[[#This Row],[Part  '#]],Products[],3,0)</f>
        <v>Product</v>
      </c>
      <c r="R488" s="25">
        <f>Invoices[[#This Row],[Quantity]]*Invoices[[#This Row],[Unit Cost]]</f>
        <v>2121.9</v>
      </c>
      <c r="S488" s="25">
        <f>Invoices[[#This Row],[Quantity]]*Invoices[[#This Row],[New Unit Price]]</f>
        <v>3500</v>
      </c>
      <c r="T488" s="25">
        <f>Invoices[[#This Row],[Revenue]]-Invoices[[#This Row],[Cost]]</f>
        <v>1378.1</v>
      </c>
      <c r="U488" s="25" t="str">
        <f>TEXT(Invoices[[#This Row],[Date]],"MMM")</f>
        <v>Dec</v>
      </c>
      <c r="V488" s="29">
        <f>CHOOSE(MONTH(Invoices[[#This Row],[Date]]),1,1,1,2,2,2,3,3,3,4,4,4)</f>
        <v>4</v>
      </c>
      <c r="W488" s="30">
        <f>IFERROR(Invoices[[#This Row],[Profit]]/Invoices[[#This Row],[Revenue]],0)</f>
        <v>0.39374285714285712</v>
      </c>
    </row>
    <row r="489" spans="1:23" x14ac:dyDescent="0.3">
      <c r="A489" s="19" t="s">
        <v>5</v>
      </c>
      <c r="B489" s="9">
        <v>22969</v>
      </c>
      <c r="C489" s="15">
        <v>41609</v>
      </c>
      <c r="D489" s="9">
        <v>119</v>
      </c>
      <c r="E489" s="10" t="s">
        <v>87</v>
      </c>
      <c r="F489" s="8">
        <v>1</v>
      </c>
      <c r="G489" s="10"/>
      <c r="H489" s="4" t="s">
        <v>135</v>
      </c>
      <c r="I489" s="4" t="s">
        <v>52</v>
      </c>
      <c r="J489" s="4">
        <v>5</v>
      </c>
      <c r="K489" s="23">
        <v>100</v>
      </c>
      <c r="L489">
        <f>IF(Invoices[[#This Row],[Document Type]]="Return",Invoices[[#This Row],[Unit Price]]*-1,Invoices[[#This Row],[Unit Price]])</f>
        <v>100</v>
      </c>
      <c r="M489" t="str">
        <f>IF(Invoices[[#This Row],[New Unit Price]]&lt;0,"Return",
IF(Invoices[[#This Row],[New Unit Price]]=0,"Free",IF(Invoices[[#This Row],[New Unit Price]]&lt;100,"Basic","Premium")))</f>
        <v>Premium</v>
      </c>
      <c r="N489">
        <f>VLOOKUP(Invoices[[#This Row],[Part  '#]],Products[],4,0)</f>
        <v>27.17</v>
      </c>
      <c r="O489" t="str">
        <f>VLOOKUP(Invoices[[#This Row],[Customer Account]],Customers[],4,0)</f>
        <v>Financial</v>
      </c>
      <c r="P489" t="str">
        <f>VLOOKUP(Invoices[[#This Row],[Customer Account]],Customers[],3,0)</f>
        <v>Georgia</v>
      </c>
      <c r="Q489" t="str">
        <f>VLOOKUP(Invoices[[#This Row],[Part  '#]],Products[],3,0)</f>
        <v>Consumables</v>
      </c>
      <c r="R489" s="25">
        <f>Invoices[[#This Row],[Quantity]]*Invoices[[#This Row],[Unit Cost]]</f>
        <v>135.85000000000002</v>
      </c>
      <c r="S489" s="25">
        <f>Invoices[[#This Row],[Quantity]]*Invoices[[#This Row],[New Unit Price]]</f>
        <v>500</v>
      </c>
      <c r="T489" s="25">
        <f>Invoices[[#This Row],[Revenue]]-Invoices[[#This Row],[Cost]]</f>
        <v>364.15</v>
      </c>
      <c r="U489" s="25" t="str">
        <f>TEXT(Invoices[[#This Row],[Date]],"MMM")</f>
        <v>Dec</v>
      </c>
      <c r="V489" s="29">
        <f>CHOOSE(MONTH(Invoices[[#This Row],[Date]]),1,1,1,2,2,2,3,3,3,4,4,4)</f>
        <v>4</v>
      </c>
      <c r="W489" s="30">
        <f>IFERROR(Invoices[[#This Row],[Profit]]/Invoices[[#This Row],[Revenue]],0)</f>
        <v>0.72829999999999995</v>
      </c>
    </row>
    <row r="490" spans="1:23" x14ac:dyDescent="0.3">
      <c r="A490" s="19" t="s">
        <v>5</v>
      </c>
      <c r="B490" s="9">
        <v>22969</v>
      </c>
      <c r="C490" s="15">
        <v>41609</v>
      </c>
      <c r="D490" s="9">
        <v>119</v>
      </c>
      <c r="E490" s="10" t="s">
        <v>87</v>
      </c>
      <c r="F490" s="8">
        <v>2</v>
      </c>
      <c r="G490" s="10"/>
      <c r="H490" s="4" t="s">
        <v>136</v>
      </c>
      <c r="I490" s="4" t="s">
        <v>53</v>
      </c>
      <c r="J490" s="4">
        <v>5</v>
      </c>
      <c r="K490" s="23">
        <v>140</v>
      </c>
      <c r="L490">
        <f>IF(Invoices[[#This Row],[Document Type]]="Return",Invoices[[#This Row],[Unit Price]]*-1,Invoices[[#This Row],[Unit Price]])</f>
        <v>140</v>
      </c>
      <c r="M490" t="str">
        <f>IF(Invoices[[#This Row],[New Unit Price]]&lt;0,"Return",
IF(Invoices[[#This Row],[New Unit Price]]=0,"Free",IF(Invoices[[#This Row],[New Unit Price]]&lt;100,"Basic","Premium")))</f>
        <v>Premium</v>
      </c>
      <c r="N490">
        <f>VLOOKUP(Invoices[[#This Row],[Part  '#]],Products[],4,0)</f>
        <v>34.299999999999997</v>
      </c>
      <c r="O490" t="str">
        <f>VLOOKUP(Invoices[[#This Row],[Customer Account]],Customers[],4,0)</f>
        <v>Financial</v>
      </c>
      <c r="P490" t="str">
        <f>VLOOKUP(Invoices[[#This Row],[Customer Account]],Customers[],3,0)</f>
        <v>Georgia</v>
      </c>
      <c r="Q490" t="str">
        <f>VLOOKUP(Invoices[[#This Row],[Part  '#]],Products[],3,0)</f>
        <v>Consumables</v>
      </c>
      <c r="R490" s="25">
        <f>Invoices[[#This Row],[Quantity]]*Invoices[[#This Row],[Unit Cost]]</f>
        <v>171.5</v>
      </c>
      <c r="S490" s="25">
        <f>Invoices[[#This Row],[Quantity]]*Invoices[[#This Row],[New Unit Price]]</f>
        <v>700</v>
      </c>
      <c r="T490" s="25">
        <f>Invoices[[#This Row],[Revenue]]-Invoices[[#This Row],[Cost]]</f>
        <v>528.5</v>
      </c>
      <c r="U490" s="25" t="str">
        <f>TEXT(Invoices[[#This Row],[Date]],"MMM")</f>
        <v>Dec</v>
      </c>
      <c r="V490" s="29">
        <f>CHOOSE(MONTH(Invoices[[#This Row],[Date]]),1,1,1,2,2,2,3,3,3,4,4,4)</f>
        <v>4</v>
      </c>
      <c r="W490" s="30">
        <f>IFERROR(Invoices[[#This Row],[Profit]]/Invoices[[#This Row],[Revenue]],0)</f>
        <v>0.755</v>
      </c>
    </row>
    <row r="491" spans="1:23" x14ac:dyDescent="0.3">
      <c r="A491" s="19" t="s">
        <v>5</v>
      </c>
      <c r="B491" s="9">
        <v>22969</v>
      </c>
      <c r="C491" s="15">
        <v>41609</v>
      </c>
      <c r="D491" s="9">
        <v>119</v>
      </c>
      <c r="E491" s="10" t="s">
        <v>87</v>
      </c>
      <c r="F491" s="8">
        <v>3</v>
      </c>
      <c r="G491" s="10"/>
      <c r="H491" s="4" t="s">
        <v>128</v>
      </c>
      <c r="I491" s="4" t="s">
        <v>45</v>
      </c>
      <c r="J491" s="4">
        <v>5</v>
      </c>
      <c r="K491" s="23">
        <v>25</v>
      </c>
      <c r="L491">
        <f>IF(Invoices[[#This Row],[Document Type]]="Return",Invoices[[#This Row],[Unit Price]]*-1,Invoices[[#This Row],[Unit Price]])</f>
        <v>25</v>
      </c>
      <c r="M491" t="str">
        <f>IF(Invoices[[#This Row],[New Unit Price]]&lt;0,"Return",
IF(Invoices[[#This Row],[New Unit Price]]=0,"Free",IF(Invoices[[#This Row],[New Unit Price]]&lt;100,"Basic","Premium")))</f>
        <v>Basic</v>
      </c>
      <c r="N491">
        <f>VLOOKUP(Invoices[[#This Row],[Part  '#]],Products[],4,0)</f>
        <v>5.16</v>
      </c>
      <c r="O491" t="str">
        <f>VLOOKUP(Invoices[[#This Row],[Customer Account]],Customers[],4,0)</f>
        <v>Financial</v>
      </c>
      <c r="P491" t="str">
        <f>VLOOKUP(Invoices[[#This Row],[Customer Account]],Customers[],3,0)</f>
        <v>Georgia</v>
      </c>
      <c r="Q491" t="str">
        <f>VLOOKUP(Invoices[[#This Row],[Part  '#]],Products[],3,0)</f>
        <v>Consumables</v>
      </c>
      <c r="R491" s="25">
        <f>Invoices[[#This Row],[Quantity]]*Invoices[[#This Row],[Unit Cost]]</f>
        <v>25.8</v>
      </c>
      <c r="S491" s="25">
        <f>Invoices[[#This Row],[Quantity]]*Invoices[[#This Row],[New Unit Price]]</f>
        <v>125</v>
      </c>
      <c r="T491" s="25">
        <f>Invoices[[#This Row],[Revenue]]-Invoices[[#This Row],[Cost]]</f>
        <v>99.2</v>
      </c>
      <c r="U491" s="25" t="str">
        <f>TEXT(Invoices[[#This Row],[Date]],"MMM")</f>
        <v>Dec</v>
      </c>
      <c r="V491" s="29">
        <f>CHOOSE(MONTH(Invoices[[#This Row],[Date]]),1,1,1,2,2,2,3,3,3,4,4,4)</f>
        <v>4</v>
      </c>
      <c r="W491" s="30">
        <f>IFERROR(Invoices[[#This Row],[Profit]]/Invoices[[#This Row],[Revenue]],0)</f>
        <v>0.79359999999999997</v>
      </c>
    </row>
    <row r="492" spans="1:23" x14ac:dyDescent="0.3">
      <c r="A492" s="19" t="s">
        <v>5</v>
      </c>
      <c r="B492" s="9">
        <v>22969</v>
      </c>
      <c r="C492" s="15">
        <v>41609</v>
      </c>
      <c r="D492" s="9">
        <v>119</v>
      </c>
      <c r="E492" s="10" t="s">
        <v>87</v>
      </c>
      <c r="F492" s="8">
        <v>4</v>
      </c>
      <c r="G492" s="10"/>
      <c r="H492" s="4" t="s">
        <v>130</v>
      </c>
      <c r="I492" s="4" t="s">
        <v>47</v>
      </c>
      <c r="J492" s="4">
        <v>5</v>
      </c>
      <c r="K492" s="23">
        <v>24</v>
      </c>
      <c r="L492">
        <f>IF(Invoices[[#This Row],[Document Type]]="Return",Invoices[[#This Row],[Unit Price]]*-1,Invoices[[#This Row],[Unit Price]])</f>
        <v>24</v>
      </c>
      <c r="M492" t="str">
        <f>IF(Invoices[[#This Row],[New Unit Price]]&lt;0,"Return",
IF(Invoices[[#This Row],[New Unit Price]]=0,"Free",IF(Invoices[[#This Row],[New Unit Price]]&lt;100,"Basic","Premium")))</f>
        <v>Basic</v>
      </c>
      <c r="N492">
        <f>VLOOKUP(Invoices[[#This Row],[Part  '#]],Products[],4,0)</f>
        <v>7.09</v>
      </c>
      <c r="O492" t="str">
        <f>VLOOKUP(Invoices[[#This Row],[Customer Account]],Customers[],4,0)</f>
        <v>Financial</v>
      </c>
      <c r="P492" t="str">
        <f>VLOOKUP(Invoices[[#This Row],[Customer Account]],Customers[],3,0)</f>
        <v>Georgia</v>
      </c>
      <c r="Q492" t="str">
        <f>VLOOKUP(Invoices[[#This Row],[Part  '#]],Products[],3,0)</f>
        <v>Consumables</v>
      </c>
      <c r="R492" s="25">
        <f>Invoices[[#This Row],[Quantity]]*Invoices[[#This Row],[Unit Cost]]</f>
        <v>35.450000000000003</v>
      </c>
      <c r="S492" s="25">
        <f>Invoices[[#This Row],[Quantity]]*Invoices[[#This Row],[New Unit Price]]</f>
        <v>120</v>
      </c>
      <c r="T492" s="25">
        <f>Invoices[[#This Row],[Revenue]]-Invoices[[#This Row],[Cost]]</f>
        <v>84.55</v>
      </c>
      <c r="U492" s="25" t="str">
        <f>TEXT(Invoices[[#This Row],[Date]],"MMM")</f>
        <v>Dec</v>
      </c>
      <c r="V492" s="29">
        <f>CHOOSE(MONTH(Invoices[[#This Row],[Date]]),1,1,1,2,2,2,3,3,3,4,4,4)</f>
        <v>4</v>
      </c>
      <c r="W492" s="30">
        <f>IFERROR(Invoices[[#This Row],[Profit]]/Invoices[[#This Row],[Revenue]],0)</f>
        <v>0.70458333333333334</v>
      </c>
    </row>
    <row r="493" spans="1:23" x14ac:dyDescent="0.3">
      <c r="A493" s="19" t="s">
        <v>5</v>
      </c>
      <c r="B493" s="9">
        <v>22969</v>
      </c>
      <c r="C493" s="15">
        <v>41609</v>
      </c>
      <c r="D493" s="9">
        <v>119</v>
      </c>
      <c r="E493" s="10" t="s">
        <v>87</v>
      </c>
      <c r="F493" s="8">
        <v>5</v>
      </c>
      <c r="G493" s="10"/>
      <c r="H493" s="4" t="s">
        <v>121</v>
      </c>
      <c r="I493" s="4" t="s">
        <v>55</v>
      </c>
      <c r="J493" s="4">
        <v>1</v>
      </c>
      <c r="K493" s="23">
        <v>250</v>
      </c>
      <c r="L493">
        <f>IF(Invoices[[#This Row],[Document Type]]="Return",Invoices[[#This Row],[Unit Price]]*-1,Invoices[[#This Row],[Unit Price]])</f>
        <v>250</v>
      </c>
      <c r="M493" t="str">
        <f>IF(Invoices[[#This Row],[New Unit Price]]&lt;0,"Return",
IF(Invoices[[#This Row],[New Unit Price]]=0,"Free",IF(Invoices[[#This Row],[New Unit Price]]&lt;100,"Basic","Premium")))</f>
        <v>Premium</v>
      </c>
      <c r="N493">
        <f>VLOOKUP(Invoices[[#This Row],[Part  '#]],Products[],4,0)</f>
        <v>93.81</v>
      </c>
      <c r="O493" t="str">
        <f>VLOOKUP(Invoices[[#This Row],[Customer Account]],Customers[],4,0)</f>
        <v>Financial</v>
      </c>
      <c r="P493" t="str">
        <f>VLOOKUP(Invoices[[#This Row],[Customer Account]],Customers[],3,0)</f>
        <v>Georgia</v>
      </c>
      <c r="Q493" t="str">
        <f>VLOOKUP(Invoices[[#This Row],[Part  '#]],Products[],3,0)</f>
        <v>Accessories</v>
      </c>
      <c r="R493" s="25">
        <f>Invoices[[#This Row],[Quantity]]*Invoices[[#This Row],[Unit Cost]]</f>
        <v>93.81</v>
      </c>
      <c r="S493" s="25">
        <f>Invoices[[#This Row],[Quantity]]*Invoices[[#This Row],[New Unit Price]]</f>
        <v>250</v>
      </c>
      <c r="T493" s="25">
        <f>Invoices[[#This Row],[Revenue]]-Invoices[[#This Row],[Cost]]</f>
        <v>156.19</v>
      </c>
      <c r="U493" s="25" t="str">
        <f>TEXT(Invoices[[#This Row],[Date]],"MMM")</f>
        <v>Dec</v>
      </c>
      <c r="V493" s="29">
        <f>CHOOSE(MONTH(Invoices[[#This Row],[Date]]),1,1,1,2,2,2,3,3,3,4,4,4)</f>
        <v>4</v>
      </c>
      <c r="W493" s="30">
        <f>IFERROR(Invoices[[#This Row],[Profit]]/Invoices[[#This Row],[Revenue]],0)</f>
        <v>0.62475999999999998</v>
      </c>
    </row>
    <row r="494" spans="1:23" x14ac:dyDescent="0.3">
      <c r="A494" s="19" t="s">
        <v>5</v>
      </c>
      <c r="B494" s="9">
        <v>22970</v>
      </c>
      <c r="C494" s="15">
        <v>41612</v>
      </c>
      <c r="D494" s="9">
        <v>103</v>
      </c>
      <c r="E494" s="10" t="s">
        <v>71</v>
      </c>
      <c r="F494" s="8">
        <v>1</v>
      </c>
      <c r="G494" s="10"/>
      <c r="H494" s="4" t="s">
        <v>137</v>
      </c>
      <c r="I494" s="4" t="s">
        <v>31</v>
      </c>
      <c r="J494" s="4">
        <v>1</v>
      </c>
      <c r="K494" s="23">
        <v>30</v>
      </c>
      <c r="L494">
        <f>IF(Invoices[[#This Row],[Document Type]]="Return",Invoices[[#This Row],[Unit Price]]*-1,Invoices[[#This Row],[Unit Price]])</f>
        <v>30</v>
      </c>
      <c r="M494" t="str">
        <f>IF(Invoices[[#This Row],[New Unit Price]]&lt;0,"Return",
IF(Invoices[[#This Row],[New Unit Price]]=0,"Free",IF(Invoices[[#This Row],[New Unit Price]]&lt;100,"Basic","Premium")))</f>
        <v>Basic</v>
      </c>
      <c r="N494">
        <f>VLOOKUP(Invoices[[#This Row],[Part  '#]],Products[],4,0)</f>
        <v>6.3</v>
      </c>
      <c r="O494" t="str">
        <f>VLOOKUP(Invoices[[#This Row],[Customer Account]],Customers[],4,0)</f>
        <v>Financial</v>
      </c>
      <c r="P494" t="str">
        <f>VLOOKUP(Invoices[[#This Row],[Customer Account]],Customers[],3,0)</f>
        <v>Florida</v>
      </c>
      <c r="Q494" t="str">
        <f>VLOOKUP(Invoices[[#This Row],[Part  '#]],Products[],3,0)</f>
        <v>Accessories</v>
      </c>
      <c r="R494" s="25">
        <f>Invoices[[#This Row],[Quantity]]*Invoices[[#This Row],[Unit Cost]]</f>
        <v>6.3</v>
      </c>
      <c r="S494" s="25">
        <f>Invoices[[#This Row],[Quantity]]*Invoices[[#This Row],[New Unit Price]]</f>
        <v>30</v>
      </c>
      <c r="T494" s="25">
        <f>Invoices[[#This Row],[Revenue]]-Invoices[[#This Row],[Cost]]</f>
        <v>23.7</v>
      </c>
      <c r="U494" s="25" t="str">
        <f>TEXT(Invoices[[#This Row],[Date]],"MMM")</f>
        <v>Dec</v>
      </c>
      <c r="V494" s="29">
        <f>CHOOSE(MONTH(Invoices[[#This Row],[Date]]),1,1,1,2,2,2,3,3,3,4,4,4)</f>
        <v>4</v>
      </c>
      <c r="W494" s="30">
        <f>IFERROR(Invoices[[#This Row],[Profit]]/Invoices[[#This Row],[Revenue]],0)</f>
        <v>0.78999999999999992</v>
      </c>
    </row>
    <row r="495" spans="1:23" x14ac:dyDescent="0.3">
      <c r="A495" s="19" t="s">
        <v>5</v>
      </c>
      <c r="B495" s="9">
        <v>22970</v>
      </c>
      <c r="C495" s="15">
        <v>41612</v>
      </c>
      <c r="D495" s="9">
        <v>103</v>
      </c>
      <c r="E495" s="10" t="s">
        <v>71</v>
      </c>
      <c r="F495" s="8">
        <v>2</v>
      </c>
      <c r="G495" s="10"/>
      <c r="H495" s="4" t="s">
        <v>117</v>
      </c>
      <c r="I495" s="4" t="s">
        <v>33</v>
      </c>
      <c r="J495" s="4">
        <v>1</v>
      </c>
      <c r="K495" s="23">
        <v>30</v>
      </c>
      <c r="L495">
        <f>IF(Invoices[[#This Row],[Document Type]]="Return",Invoices[[#This Row],[Unit Price]]*-1,Invoices[[#This Row],[Unit Price]])</f>
        <v>30</v>
      </c>
      <c r="M495" t="str">
        <f>IF(Invoices[[#This Row],[New Unit Price]]&lt;0,"Return",
IF(Invoices[[#This Row],[New Unit Price]]=0,"Free",IF(Invoices[[#This Row],[New Unit Price]]&lt;100,"Basic","Premium")))</f>
        <v>Basic</v>
      </c>
      <c r="N495">
        <f>VLOOKUP(Invoices[[#This Row],[Part  '#]],Products[],4,0)</f>
        <v>11.59</v>
      </c>
      <c r="O495" t="str">
        <f>VLOOKUP(Invoices[[#This Row],[Customer Account]],Customers[],4,0)</f>
        <v>Financial</v>
      </c>
      <c r="P495" t="str">
        <f>VLOOKUP(Invoices[[#This Row],[Customer Account]],Customers[],3,0)</f>
        <v>Florida</v>
      </c>
      <c r="Q495" t="str">
        <f>VLOOKUP(Invoices[[#This Row],[Part  '#]],Products[],3,0)</f>
        <v>Accessories</v>
      </c>
      <c r="R495" s="25">
        <f>Invoices[[#This Row],[Quantity]]*Invoices[[#This Row],[Unit Cost]]</f>
        <v>11.59</v>
      </c>
      <c r="S495" s="25">
        <f>Invoices[[#This Row],[Quantity]]*Invoices[[#This Row],[New Unit Price]]</f>
        <v>30</v>
      </c>
      <c r="T495" s="25">
        <f>Invoices[[#This Row],[Revenue]]-Invoices[[#This Row],[Cost]]</f>
        <v>18.41</v>
      </c>
      <c r="U495" s="25" t="str">
        <f>TEXT(Invoices[[#This Row],[Date]],"MMM")</f>
        <v>Dec</v>
      </c>
      <c r="V495" s="29">
        <f>CHOOSE(MONTH(Invoices[[#This Row],[Date]]),1,1,1,2,2,2,3,3,3,4,4,4)</f>
        <v>4</v>
      </c>
      <c r="W495" s="30">
        <f>IFERROR(Invoices[[#This Row],[Profit]]/Invoices[[#This Row],[Revenue]],0)</f>
        <v>0.61366666666666669</v>
      </c>
    </row>
    <row r="496" spans="1:23" x14ac:dyDescent="0.3">
      <c r="A496" s="19" t="s">
        <v>5</v>
      </c>
      <c r="B496" s="9">
        <v>22970</v>
      </c>
      <c r="C496" s="15">
        <v>41612</v>
      </c>
      <c r="D496" s="9">
        <v>103</v>
      </c>
      <c r="E496" s="10" t="s">
        <v>71</v>
      </c>
      <c r="F496" s="8">
        <v>3</v>
      </c>
      <c r="G496" s="10"/>
      <c r="H496" s="4" t="s">
        <v>118</v>
      </c>
      <c r="I496" s="4" t="s">
        <v>42</v>
      </c>
      <c r="J496" s="4">
        <v>1</v>
      </c>
      <c r="K496" s="23">
        <v>40</v>
      </c>
      <c r="L496">
        <f>IF(Invoices[[#This Row],[Document Type]]="Return",Invoices[[#This Row],[Unit Price]]*-1,Invoices[[#This Row],[Unit Price]])</f>
        <v>40</v>
      </c>
      <c r="M496" t="str">
        <f>IF(Invoices[[#This Row],[New Unit Price]]&lt;0,"Return",
IF(Invoices[[#This Row],[New Unit Price]]=0,"Free",IF(Invoices[[#This Row],[New Unit Price]]&lt;100,"Basic","Premium")))</f>
        <v>Basic</v>
      </c>
      <c r="N496">
        <f>VLOOKUP(Invoices[[#This Row],[Part  '#]],Products[],4,0)</f>
        <v>12.33</v>
      </c>
      <c r="O496" t="str">
        <f>VLOOKUP(Invoices[[#This Row],[Customer Account]],Customers[],4,0)</f>
        <v>Financial</v>
      </c>
      <c r="P496" t="str">
        <f>VLOOKUP(Invoices[[#This Row],[Customer Account]],Customers[],3,0)</f>
        <v>Florida</v>
      </c>
      <c r="Q496" t="str">
        <f>VLOOKUP(Invoices[[#This Row],[Part  '#]],Products[],3,0)</f>
        <v>Accessories</v>
      </c>
      <c r="R496" s="25">
        <f>Invoices[[#This Row],[Quantity]]*Invoices[[#This Row],[Unit Cost]]</f>
        <v>12.33</v>
      </c>
      <c r="S496" s="25">
        <f>Invoices[[#This Row],[Quantity]]*Invoices[[#This Row],[New Unit Price]]</f>
        <v>40</v>
      </c>
      <c r="T496" s="25">
        <f>Invoices[[#This Row],[Revenue]]-Invoices[[#This Row],[Cost]]</f>
        <v>27.67</v>
      </c>
      <c r="U496" s="25" t="str">
        <f>TEXT(Invoices[[#This Row],[Date]],"MMM")</f>
        <v>Dec</v>
      </c>
      <c r="V496" s="29">
        <f>CHOOSE(MONTH(Invoices[[#This Row],[Date]]),1,1,1,2,2,2,3,3,3,4,4,4)</f>
        <v>4</v>
      </c>
      <c r="W496" s="30">
        <f>IFERROR(Invoices[[#This Row],[Profit]]/Invoices[[#This Row],[Revenue]],0)</f>
        <v>0.69175000000000009</v>
      </c>
    </row>
    <row r="497" spans="1:23" x14ac:dyDescent="0.3">
      <c r="A497" s="19" t="s">
        <v>5</v>
      </c>
      <c r="B497" s="9">
        <v>22971</v>
      </c>
      <c r="C497" s="15">
        <v>41612</v>
      </c>
      <c r="D497" s="9">
        <v>118</v>
      </c>
      <c r="E497" s="10" t="s">
        <v>86</v>
      </c>
      <c r="F497" s="8">
        <v>1</v>
      </c>
      <c r="G497" s="10"/>
      <c r="H497" s="4" t="s">
        <v>137</v>
      </c>
      <c r="I497" s="4" t="s">
        <v>31</v>
      </c>
      <c r="J497" s="4">
        <v>10</v>
      </c>
      <c r="K497" s="23">
        <v>30</v>
      </c>
      <c r="L497">
        <f>IF(Invoices[[#This Row],[Document Type]]="Return",Invoices[[#This Row],[Unit Price]]*-1,Invoices[[#This Row],[Unit Price]])</f>
        <v>30</v>
      </c>
      <c r="M497" t="str">
        <f>IF(Invoices[[#This Row],[New Unit Price]]&lt;0,"Return",
IF(Invoices[[#This Row],[New Unit Price]]=0,"Free",IF(Invoices[[#This Row],[New Unit Price]]&lt;100,"Basic","Premium")))</f>
        <v>Basic</v>
      </c>
      <c r="N497">
        <f>VLOOKUP(Invoices[[#This Row],[Part  '#]],Products[],4,0)</f>
        <v>6.3</v>
      </c>
      <c r="O497" t="str">
        <f>VLOOKUP(Invoices[[#This Row],[Customer Account]],Customers[],4,0)</f>
        <v>Financial</v>
      </c>
      <c r="P497" t="str">
        <f>VLOOKUP(Invoices[[#This Row],[Customer Account]],Customers[],3,0)</f>
        <v>Georgia</v>
      </c>
      <c r="Q497" t="str">
        <f>VLOOKUP(Invoices[[#This Row],[Part  '#]],Products[],3,0)</f>
        <v>Accessories</v>
      </c>
      <c r="R497" s="25">
        <f>Invoices[[#This Row],[Quantity]]*Invoices[[#This Row],[Unit Cost]]</f>
        <v>63</v>
      </c>
      <c r="S497" s="25">
        <f>Invoices[[#This Row],[Quantity]]*Invoices[[#This Row],[New Unit Price]]</f>
        <v>300</v>
      </c>
      <c r="T497" s="25">
        <f>Invoices[[#This Row],[Revenue]]-Invoices[[#This Row],[Cost]]</f>
        <v>237</v>
      </c>
      <c r="U497" s="25" t="str">
        <f>TEXT(Invoices[[#This Row],[Date]],"MMM")</f>
        <v>Dec</v>
      </c>
      <c r="V497" s="29">
        <f>CHOOSE(MONTH(Invoices[[#This Row],[Date]]),1,1,1,2,2,2,3,3,3,4,4,4)</f>
        <v>4</v>
      </c>
      <c r="W497" s="30">
        <f>IFERROR(Invoices[[#This Row],[Profit]]/Invoices[[#This Row],[Revenue]],0)</f>
        <v>0.79</v>
      </c>
    </row>
    <row r="498" spans="1:23" x14ac:dyDescent="0.3">
      <c r="A498" s="19" t="s">
        <v>5</v>
      </c>
      <c r="B498" s="9">
        <v>22971</v>
      </c>
      <c r="C498" s="15">
        <v>41612</v>
      </c>
      <c r="D498" s="9">
        <v>118</v>
      </c>
      <c r="E498" s="10" t="s">
        <v>86</v>
      </c>
      <c r="F498" s="8">
        <v>2</v>
      </c>
      <c r="G498" s="10"/>
      <c r="H498" s="4" t="s">
        <v>117</v>
      </c>
      <c r="I498" s="4" t="s">
        <v>33</v>
      </c>
      <c r="J498" s="4">
        <v>10</v>
      </c>
      <c r="K498" s="23">
        <v>30</v>
      </c>
      <c r="L498">
        <f>IF(Invoices[[#This Row],[Document Type]]="Return",Invoices[[#This Row],[Unit Price]]*-1,Invoices[[#This Row],[Unit Price]])</f>
        <v>30</v>
      </c>
      <c r="M498" t="str">
        <f>IF(Invoices[[#This Row],[New Unit Price]]&lt;0,"Return",
IF(Invoices[[#This Row],[New Unit Price]]=0,"Free",IF(Invoices[[#This Row],[New Unit Price]]&lt;100,"Basic","Premium")))</f>
        <v>Basic</v>
      </c>
      <c r="N498">
        <f>VLOOKUP(Invoices[[#This Row],[Part  '#]],Products[],4,0)</f>
        <v>11.59</v>
      </c>
      <c r="O498" t="str">
        <f>VLOOKUP(Invoices[[#This Row],[Customer Account]],Customers[],4,0)</f>
        <v>Financial</v>
      </c>
      <c r="P498" t="str">
        <f>VLOOKUP(Invoices[[#This Row],[Customer Account]],Customers[],3,0)</f>
        <v>Georgia</v>
      </c>
      <c r="Q498" t="str">
        <f>VLOOKUP(Invoices[[#This Row],[Part  '#]],Products[],3,0)</f>
        <v>Accessories</v>
      </c>
      <c r="R498" s="25">
        <f>Invoices[[#This Row],[Quantity]]*Invoices[[#This Row],[Unit Cost]]</f>
        <v>115.9</v>
      </c>
      <c r="S498" s="25">
        <f>Invoices[[#This Row],[Quantity]]*Invoices[[#This Row],[New Unit Price]]</f>
        <v>300</v>
      </c>
      <c r="T498" s="25">
        <f>Invoices[[#This Row],[Revenue]]-Invoices[[#This Row],[Cost]]</f>
        <v>184.1</v>
      </c>
      <c r="U498" s="25" t="str">
        <f>TEXT(Invoices[[#This Row],[Date]],"MMM")</f>
        <v>Dec</v>
      </c>
      <c r="V498" s="29">
        <f>CHOOSE(MONTH(Invoices[[#This Row],[Date]]),1,1,1,2,2,2,3,3,3,4,4,4)</f>
        <v>4</v>
      </c>
      <c r="W498" s="30">
        <f>IFERROR(Invoices[[#This Row],[Profit]]/Invoices[[#This Row],[Revenue]],0)</f>
        <v>0.61366666666666669</v>
      </c>
    </row>
    <row r="499" spans="1:23" x14ac:dyDescent="0.3">
      <c r="A499" s="19" t="s">
        <v>5</v>
      </c>
      <c r="B499" s="9">
        <v>22971</v>
      </c>
      <c r="C499" s="15">
        <v>41612</v>
      </c>
      <c r="D499" s="9">
        <v>118</v>
      </c>
      <c r="E499" s="10" t="s">
        <v>86</v>
      </c>
      <c r="F499" s="8">
        <v>3</v>
      </c>
      <c r="G499" s="10"/>
      <c r="H499" s="4" t="s">
        <v>118</v>
      </c>
      <c r="I499" s="4" t="s">
        <v>42</v>
      </c>
      <c r="J499" s="4">
        <v>10</v>
      </c>
      <c r="K499" s="23">
        <v>40</v>
      </c>
      <c r="L499">
        <f>IF(Invoices[[#This Row],[Document Type]]="Return",Invoices[[#This Row],[Unit Price]]*-1,Invoices[[#This Row],[Unit Price]])</f>
        <v>40</v>
      </c>
      <c r="M499" t="str">
        <f>IF(Invoices[[#This Row],[New Unit Price]]&lt;0,"Return",
IF(Invoices[[#This Row],[New Unit Price]]=0,"Free",IF(Invoices[[#This Row],[New Unit Price]]&lt;100,"Basic","Premium")))</f>
        <v>Basic</v>
      </c>
      <c r="N499">
        <f>VLOOKUP(Invoices[[#This Row],[Part  '#]],Products[],4,0)</f>
        <v>12.33</v>
      </c>
      <c r="O499" t="str">
        <f>VLOOKUP(Invoices[[#This Row],[Customer Account]],Customers[],4,0)</f>
        <v>Financial</v>
      </c>
      <c r="P499" t="str">
        <f>VLOOKUP(Invoices[[#This Row],[Customer Account]],Customers[],3,0)</f>
        <v>Georgia</v>
      </c>
      <c r="Q499" t="str">
        <f>VLOOKUP(Invoices[[#This Row],[Part  '#]],Products[],3,0)</f>
        <v>Accessories</v>
      </c>
      <c r="R499" s="25">
        <f>Invoices[[#This Row],[Quantity]]*Invoices[[#This Row],[Unit Cost]]</f>
        <v>123.3</v>
      </c>
      <c r="S499" s="25">
        <f>Invoices[[#This Row],[Quantity]]*Invoices[[#This Row],[New Unit Price]]</f>
        <v>400</v>
      </c>
      <c r="T499" s="25">
        <f>Invoices[[#This Row],[Revenue]]-Invoices[[#This Row],[Cost]]</f>
        <v>276.7</v>
      </c>
      <c r="U499" s="25" t="str">
        <f>TEXT(Invoices[[#This Row],[Date]],"MMM")</f>
        <v>Dec</v>
      </c>
      <c r="V499" s="29">
        <f>CHOOSE(MONTH(Invoices[[#This Row],[Date]]),1,1,1,2,2,2,3,3,3,4,4,4)</f>
        <v>4</v>
      </c>
      <c r="W499" s="30">
        <f>IFERROR(Invoices[[#This Row],[Profit]]/Invoices[[#This Row],[Revenue]],0)</f>
        <v>0.69174999999999998</v>
      </c>
    </row>
    <row r="500" spans="1:23" x14ac:dyDescent="0.3">
      <c r="A500" s="19" t="s">
        <v>141</v>
      </c>
      <c r="B500" s="9">
        <v>22972</v>
      </c>
      <c r="C500" s="15">
        <v>41616</v>
      </c>
      <c r="D500" s="9">
        <v>118</v>
      </c>
      <c r="E500" s="10" t="s">
        <v>86</v>
      </c>
      <c r="F500" s="9">
        <v>1</v>
      </c>
      <c r="G500" s="10" t="s">
        <v>139</v>
      </c>
      <c r="H500" s="9" t="s">
        <v>97</v>
      </c>
      <c r="I500" s="4" t="s">
        <v>15</v>
      </c>
      <c r="J500" s="4">
        <v>7</v>
      </c>
      <c r="K500" s="23">
        <v>350</v>
      </c>
      <c r="L500">
        <f>IF(Invoices[[#This Row],[Document Type]]="Return",Invoices[[#This Row],[Unit Price]]*-1,Invoices[[#This Row],[Unit Price]])</f>
        <v>-350</v>
      </c>
      <c r="M500" t="str">
        <f>IF(Invoices[[#This Row],[New Unit Price]]&lt;0,"Return",
IF(Invoices[[#This Row],[New Unit Price]]=0,"Free",IF(Invoices[[#This Row],[New Unit Price]]&lt;100,"Basic","Premium")))</f>
        <v>Return</v>
      </c>
      <c r="N500">
        <f>VLOOKUP(Invoices[[#This Row],[Part  '#]],Products[],4,0)</f>
        <v>212.19</v>
      </c>
      <c r="O500" t="str">
        <f>VLOOKUP(Invoices[[#This Row],[Customer Account]],Customers[],4,0)</f>
        <v>Financial</v>
      </c>
      <c r="P500" t="str">
        <f>VLOOKUP(Invoices[[#This Row],[Customer Account]],Customers[],3,0)</f>
        <v>Georgia</v>
      </c>
      <c r="Q500" t="str">
        <f>VLOOKUP(Invoices[[#This Row],[Part  '#]],Products[],3,0)</f>
        <v>Product</v>
      </c>
      <c r="R500" s="25">
        <f>Invoices[[#This Row],[Quantity]]*Invoices[[#This Row],[Unit Cost]]</f>
        <v>1485.33</v>
      </c>
      <c r="S500" s="25">
        <f>Invoices[[#This Row],[Quantity]]*Invoices[[#This Row],[New Unit Price]]</f>
        <v>-2450</v>
      </c>
      <c r="T500" s="25">
        <f>Invoices[[#This Row],[Revenue]]-Invoices[[#This Row],[Cost]]</f>
        <v>-3935.33</v>
      </c>
      <c r="U500" s="25" t="str">
        <f>TEXT(Invoices[[#This Row],[Date]],"MMM")</f>
        <v>Dec</v>
      </c>
      <c r="V500" s="29">
        <f>CHOOSE(MONTH(Invoices[[#This Row],[Date]]),1,1,1,2,2,2,3,3,3,4,4,4)</f>
        <v>4</v>
      </c>
      <c r="W500" s="30">
        <f>IFERROR(Invoices[[#This Row],[Profit]]/Invoices[[#This Row],[Revenue]],0)</f>
        <v>1.6062571428571428</v>
      </c>
    </row>
    <row r="501" spans="1:23" x14ac:dyDescent="0.3">
      <c r="A501" s="19" t="s">
        <v>141</v>
      </c>
      <c r="B501" s="9">
        <v>22972</v>
      </c>
      <c r="C501" s="15">
        <v>41616</v>
      </c>
      <c r="D501" s="9">
        <v>118</v>
      </c>
      <c r="E501" s="10" t="s">
        <v>86</v>
      </c>
      <c r="F501" s="9">
        <v>2</v>
      </c>
      <c r="G501" s="10" t="s">
        <v>143</v>
      </c>
      <c r="H501" s="9" t="s">
        <v>97</v>
      </c>
      <c r="I501" s="4" t="s">
        <v>15</v>
      </c>
      <c r="J501" s="4">
        <v>2</v>
      </c>
      <c r="K501" s="23">
        <v>350</v>
      </c>
      <c r="L501">
        <f>IF(Invoices[[#This Row],[Document Type]]="Return",Invoices[[#This Row],[Unit Price]]*-1,Invoices[[#This Row],[Unit Price]])</f>
        <v>-350</v>
      </c>
      <c r="M501" t="str">
        <f>IF(Invoices[[#This Row],[New Unit Price]]&lt;0,"Return",
IF(Invoices[[#This Row],[New Unit Price]]=0,"Free",IF(Invoices[[#This Row],[New Unit Price]]&lt;100,"Basic","Premium")))</f>
        <v>Return</v>
      </c>
      <c r="N501">
        <f>VLOOKUP(Invoices[[#This Row],[Part  '#]],Products[],4,0)</f>
        <v>212.19</v>
      </c>
      <c r="O501" t="str">
        <f>VLOOKUP(Invoices[[#This Row],[Customer Account]],Customers[],4,0)</f>
        <v>Financial</v>
      </c>
      <c r="P501" t="str">
        <f>VLOOKUP(Invoices[[#This Row],[Customer Account]],Customers[],3,0)</f>
        <v>Georgia</v>
      </c>
      <c r="Q501" t="str">
        <f>VLOOKUP(Invoices[[#This Row],[Part  '#]],Products[],3,0)</f>
        <v>Product</v>
      </c>
      <c r="R501" s="25">
        <f>Invoices[[#This Row],[Quantity]]*Invoices[[#This Row],[Unit Cost]]</f>
        <v>424.38</v>
      </c>
      <c r="S501" s="25">
        <f>Invoices[[#This Row],[Quantity]]*Invoices[[#This Row],[New Unit Price]]</f>
        <v>-700</v>
      </c>
      <c r="T501" s="25">
        <f>Invoices[[#This Row],[Revenue]]-Invoices[[#This Row],[Cost]]</f>
        <v>-1124.3800000000001</v>
      </c>
      <c r="U501" s="25" t="str">
        <f>TEXT(Invoices[[#This Row],[Date]],"MMM")</f>
        <v>Dec</v>
      </c>
      <c r="V501" s="29">
        <f>CHOOSE(MONTH(Invoices[[#This Row],[Date]]),1,1,1,2,2,2,3,3,3,4,4,4)</f>
        <v>4</v>
      </c>
      <c r="W501" s="30">
        <f>IFERROR(Invoices[[#This Row],[Profit]]/Invoices[[#This Row],[Revenue]],0)</f>
        <v>1.606257142857143</v>
      </c>
    </row>
    <row r="502" spans="1:23" x14ac:dyDescent="0.3">
      <c r="A502" s="19" t="s">
        <v>5</v>
      </c>
      <c r="B502" s="9">
        <v>22973</v>
      </c>
      <c r="C502" s="15">
        <v>41620</v>
      </c>
      <c r="D502" s="9">
        <v>118</v>
      </c>
      <c r="E502" s="10" t="s">
        <v>86</v>
      </c>
      <c r="F502" s="9">
        <v>1</v>
      </c>
      <c r="G502" s="10"/>
      <c r="H502" s="9" t="s">
        <v>97</v>
      </c>
      <c r="I502" s="4" t="s">
        <v>15</v>
      </c>
      <c r="J502" s="4">
        <v>9</v>
      </c>
      <c r="K502" s="23">
        <v>350</v>
      </c>
      <c r="L502">
        <f>IF(Invoices[[#This Row],[Document Type]]="Return",Invoices[[#This Row],[Unit Price]]*-1,Invoices[[#This Row],[Unit Price]])</f>
        <v>350</v>
      </c>
      <c r="M502" t="str">
        <f>IF(Invoices[[#This Row],[New Unit Price]]&lt;0,"Return",
IF(Invoices[[#This Row],[New Unit Price]]=0,"Free",IF(Invoices[[#This Row],[New Unit Price]]&lt;100,"Basic","Premium")))</f>
        <v>Premium</v>
      </c>
      <c r="N502">
        <f>VLOOKUP(Invoices[[#This Row],[Part  '#]],Products[],4,0)</f>
        <v>212.19</v>
      </c>
      <c r="O502" t="str">
        <f>VLOOKUP(Invoices[[#This Row],[Customer Account]],Customers[],4,0)</f>
        <v>Financial</v>
      </c>
      <c r="P502" t="str">
        <f>VLOOKUP(Invoices[[#This Row],[Customer Account]],Customers[],3,0)</f>
        <v>Georgia</v>
      </c>
      <c r="Q502" t="str">
        <f>VLOOKUP(Invoices[[#This Row],[Part  '#]],Products[],3,0)</f>
        <v>Product</v>
      </c>
      <c r="R502" s="25">
        <f>Invoices[[#This Row],[Quantity]]*Invoices[[#This Row],[Unit Cost]]</f>
        <v>1909.71</v>
      </c>
      <c r="S502" s="25">
        <f>Invoices[[#This Row],[Quantity]]*Invoices[[#This Row],[New Unit Price]]</f>
        <v>3150</v>
      </c>
      <c r="T502" s="25">
        <f>Invoices[[#This Row],[Revenue]]-Invoices[[#This Row],[Cost]]</f>
        <v>1240.29</v>
      </c>
      <c r="U502" s="25" t="str">
        <f>TEXT(Invoices[[#This Row],[Date]],"MMM")</f>
        <v>Dec</v>
      </c>
      <c r="V502" s="29">
        <f>CHOOSE(MONTH(Invoices[[#This Row],[Date]]),1,1,1,2,2,2,3,3,3,4,4,4)</f>
        <v>4</v>
      </c>
      <c r="W502" s="30">
        <f>IFERROR(Invoices[[#This Row],[Profit]]/Invoices[[#This Row],[Revenue]],0)</f>
        <v>0.39374285714285712</v>
      </c>
    </row>
    <row r="503" spans="1:23" x14ac:dyDescent="0.3">
      <c r="A503" s="19" t="s">
        <v>5</v>
      </c>
      <c r="B503" s="9">
        <v>22974</v>
      </c>
      <c r="C503" s="15">
        <v>41623</v>
      </c>
      <c r="D503" s="9">
        <v>110</v>
      </c>
      <c r="E503" s="10" t="s">
        <v>75</v>
      </c>
      <c r="F503" s="8">
        <v>1</v>
      </c>
      <c r="G503" s="10"/>
      <c r="H503" s="4" t="s">
        <v>135</v>
      </c>
      <c r="I503" s="4" t="s">
        <v>52</v>
      </c>
      <c r="J503" s="4">
        <v>10</v>
      </c>
      <c r="K503" s="23">
        <v>100</v>
      </c>
      <c r="L503">
        <f>IF(Invoices[[#This Row],[Document Type]]="Return",Invoices[[#This Row],[Unit Price]]*-1,Invoices[[#This Row],[Unit Price]])</f>
        <v>100</v>
      </c>
      <c r="M503" t="str">
        <f>IF(Invoices[[#This Row],[New Unit Price]]&lt;0,"Return",
IF(Invoices[[#This Row],[New Unit Price]]=0,"Free",IF(Invoices[[#This Row],[New Unit Price]]&lt;100,"Basic","Premium")))</f>
        <v>Premium</v>
      </c>
      <c r="N503">
        <f>VLOOKUP(Invoices[[#This Row],[Part  '#]],Products[],4,0)</f>
        <v>27.17</v>
      </c>
      <c r="O503" t="str">
        <f>VLOOKUP(Invoices[[#This Row],[Customer Account]],Customers[],4,0)</f>
        <v>Automotive</v>
      </c>
      <c r="P503" t="str">
        <f>VLOOKUP(Invoices[[#This Row],[Customer Account]],Customers[],3,0)</f>
        <v>Alabama</v>
      </c>
      <c r="Q503" t="str">
        <f>VLOOKUP(Invoices[[#This Row],[Part  '#]],Products[],3,0)</f>
        <v>Consumables</v>
      </c>
      <c r="R503" s="25">
        <f>Invoices[[#This Row],[Quantity]]*Invoices[[#This Row],[Unit Cost]]</f>
        <v>271.70000000000005</v>
      </c>
      <c r="S503" s="25">
        <f>Invoices[[#This Row],[Quantity]]*Invoices[[#This Row],[New Unit Price]]</f>
        <v>1000</v>
      </c>
      <c r="T503" s="25">
        <f>Invoices[[#This Row],[Revenue]]-Invoices[[#This Row],[Cost]]</f>
        <v>728.3</v>
      </c>
      <c r="U503" s="25" t="str">
        <f>TEXT(Invoices[[#This Row],[Date]],"MMM")</f>
        <v>Dec</v>
      </c>
      <c r="V503" s="29">
        <f>CHOOSE(MONTH(Invoices[[#This Row],[Date]]),1,1,1,2,2,2,3,3,3,4,4,4)</f>
        <v>4</v>
      </c>
      <c r="W503" s="30">
        <f>IFERROR(Invoices[[#This Row],[Profit]]/Invoices[[#This Row],[Revenue]],0)</f>
        <v>0.72829999999999995</v>
      </c>
    </row>
    <row r="504" spans="1:23" x14ac:dyDescent="0.3">
      <c r="A504" s="19" t="s">
        <v>5</v>
      </c>
      <c r="B504" s="9">
        <v>22974</v>
      </c>
      <c r="C504" s="15">
        <v>41623</v>
      </c>
      <c r="D504" s="9">
        <v>110</v>
      </c>
      <c r="E504" s="10" t="s">
        <v>75</v>
      </c>
      <c r="F504" s="8">
        <v>2</v>
      </c>
      <c r="G504" s="10"/>
      <c r="H504" s="4" t="s">
        <v>136</v>
      </c>
      <c r="I504" s="4" t="s">
        <v>53</v>
      </c>
      <c r="J504" s="4">
        <v>10</v>
      </c>
      <c r="K504" s="23">
        <v>140</v>
      </c>
      <c r="L504">
        <f>IF(Invoices[[#This Row],[Document Type]]="Return",Invoices[[#This Row],[Unit Price]]*-1,Invoices[[#This Row],[Unit Price]])</f>
        <v>140</v>
      </c>
      <c r="M504" t="str">
        <f>IF(Invoices[[#This Row],[New Unit Price]]&lt;0,"Return",
IF(Invoices[[#This Row],[New Unit Price]]=0,"Free",IF(Invoices[[#This Row],[New Unit Price]]&lt;100,"Basic","Premium")))</f>
        <v>Premium</v>
      </c>
      <c r="N504">
        <f>VLOOKUP(Invoices[[#This Row],[Part  '#]],Products[],4,0)</f>
        <v>34.299999999999997</v>
      </c>
      <c r="O504" t="str">
        <f>VLOOKUP(Invoices[[#This Row],[Customer Account]],Customers[],4,0)</f>
        <v>Automotive</v>
      </c>
      <c r="P504" t="str">
        <f>VLOOKUP(Invoices[[#This Row],[Customer Account]],Customers[],3,0)</f>
        <v>Alabama</v>
      </c>
      <c r="Q504" t="str">
        <f>VLOOKUP(Invoices[[#This Row],[Part  '#]],Products[],3,0)</f>
        <v>Consumables</v>
      </c>
      <c r="R504" s="25">
        <f>Invoices[[#This Row],[Quantity]]*Invoices[[#This Row],[Unit Cost]]</f>
        <v>343</v>
      </c>
      <c r="S504" s="25">
        <f>Invoices[[#This Row],[Quantity]]*Invoices[[#This Row],[New Unit Price]]</f>
        <v>1400</v>
      </c>
      <c r="T504" s="25">
        <f>Invoices[[#This Row],[Revenue]]-Invoices[[#This Row],[Cost]]</f>
        <v>1057</v>
      </c>
      <c r="U504" s="25" t="str">
        <f>TEXT(Invoices[[#This Row],[Date]],"MMM")</f>
        <v>Dec</v>
      </c>
      <c r="V504" s="29">
        <f>CHOOSE(MONTH(Invoices[[#This Row],[Date]]),1,1,1,2,2,2,3,3,3,4,4,4)</f>
        <v>4</v>
      </c>
      <c r="W504" s="30">
        <f>IFERROR(Invoices[[#This Row],[Profit]]/Invoices[[#This Row],[Revenue]],0)</f>
        <v>0.755</v>
      </c>
    </row>
    <row r="505" spans="1:23" x14ac:dyDescent="0.3">
      <c r="A505" s="19" t="s">
        <v>5</v>
      </c>
      <c r="B505" s="9">
        <v>22974</v>
      </c>
      <c r="C505" s="15">
        <v>41623</v>
      </c>
      <c r="D505" s="9">
        <v>110</v>
      </c>
      <c r="E505" s="10" t="s">
        <v>75</v>
      </c>
      <c r="F505" s="8">
        <v>3</v>
      </c>
      <c r="G505" s="10"/>
      <c r="H505" s="4" t="s">
        <v>131</v>
      </c>
      <c r="I505" s="4" t="s">
        <v>48</v>
      </c>
      <c r="J505" s="4">
        <v>24</v>
      </c>
      <c r="K505" s="23">
        <v>50</v>
      </c>
      <c r="L505">
        <f>IF(Invoices[[#This Row],[Document Type]]="Return",Invoices[[#This Row],[Unit Price]]*-1,Invoices[[#This Row],[Unit Price]])</f>
        <v>50</v>
      </c>
      <c r="M505" t="str">
        <f>IF(Invoices[[#This Row],[New Unit Price]]&lt;0,"Return",
IF(Invoices[[#This Row],[New Unit Price]]=0,"Free",IF(Invoices[[#This Row],[New Unit Price]]&lt;100,"Basic","Premium")))</f>
        <v>Basic</v>
      </c>
      <c r="N505">
        <f>VLOOKUP(Invoices[[#This Row],[Part  '#]],Products[],4,0)</f>
        <v>11.67</v>
      </c>
      <c r="O505" t="str">
        <f>VLOOKUP(Invoices[[#This Row],[Customer Account]],Customers[],4,0)</f>
        <v>Automotive</v>
      </c>
      <c r="P505" t="str">
        <f>VLOOKUP(Invoices[[#This Row],[Customer Account]],Customers[],3,0)</f>
        <v>Alabama</v>
      </c>
      <c r="Q505" t="str">
        <f>VLOOKUP(Invoices[[#This Row],[Part  '#]],Products[],3,0)</f>
        <v>Consumables</v>
      </c>
      <c r="R505" s="25">
        <f>Invoices[[#This Row],[Quantity]]*Invoices[[#This Row],[Unit Cost]]</f>
        <v>280.08</v>
      </c>
      <c r="S505" s="25">
        <f>Invoices[[#This Row],[Quantity]]*Invoices[[#This Row],[New Unit Price]]</f>
        <v>1200</v>
      </c>
      <c r="T505" s="25">
        <f>Invoices[[#This Row],[Revenue]]-Invoices[[#This Row],[Cost]]</f>
        <v>919.92000000000007</v>
      </c>
      <c r="U505" s="25" t="str">
        <f>TEXT(Invoices[[#This Row],[Date]],"MMM")</f>
        <v>Dec</v>
      </c>
      <c r="V505" s="29">
        <f>CHOOSE(MONTH(Invoices[[#This Row],[Date]]),1,1,1,2,2,2,3,3,3,4,4,4)</f>
        <v>4</v>
      </c>
      <c r="W505" s="30">
        <f>IFERROR(Invoices[[#This Row],[Profit]]/Invoices[[#This Row],[Revenue]],0)</f>
        <v>0.76660000000000006</v>
      </c>
    </row>
    <row r="506" spans="1:23" x14ac:dyDescent="0.3">
      <c r="A506" s="19" t="s">
        <v>5</v>
      </c>
      <c r="B506" s="9">
        <v>22974</v>
      </c>
      <c r="C506" s="15">
        <v>41623</v>
      </c>
      <c r="D506" s="9">
        <v>110</v>
      </c>
      <c r="E506" s="10" t="s">
        <v>75</v>
      </c>
      <c r="F506" s="8">
        <v>4</v>
      </c>
      <c r="G506" s="10"/>
      <c r="H506" s="4" t="s">
        <v>125</v>
      </c>
      <c r="I506" s="4" t="s">
        <v>40</v>
      </c>
      <c r="J506" s="4">
        <v>24</v>
      </c>
      <c r="K506" s="23">
        <v>30</v>
      </c>
      <c r="L506">
        <f>IF(Invoices[[#This Row],[Document Type]]="Return",Invoices[[#This Row],[Unit Price]]*-1,Invoices[[#This Row],[Unit Price]])</f>
        <v>30</v>
      </c>
      <c r="M506" t="str">
        <f>IF(Invoices[[#This Row],[New Unit Price]]&lt;0,"Return",
IF(Invoices[[#This Row],[New Unit Price]]=0,"Free",IF(Invoices[[#This Row],[New Unit Price]]&lt;100,"Basic","Premium")))</f>
        <v>Basic</v>
      </c>
      <c r="N506">
        <f>VLOOKUP(Invoices[[#This Row],[Part  '#]],Products[],4,0)</f>
        <v>6.9</v>
      </c>
      <c r="O506" t="str">
        <f>VLOOKUP(Invoices[[#This Row],[Customer Account]],Customers[],4,0)</f>
        <v>Automotive</v>
      </c>
      <c r="P506" t="str">
        <f>VLOOKUP(Invoices[[#This Row],[Customer Account]],Customers[],3,0)</f>
        <v>Alabama</v>
      </c>
      <c r="Q506" t="str">
        <f>VLOOKUP(Invoices[[#This Row],[Part  '#]],Products[],3,0)</f>
        <v>Consumables</v>
      </c>
      <c r="R506" s="25">
        <f>Invoices[[#This Row],[Quantity]]*Invoices[[#This Row],[Unit Cost]]</f>
        <v>165.60000000000002</v>
      </c>
      <c r="S506" s="25">
        <f>Invoices[[#This Row],[Quantity]]*Invoices[[#This Row],[New Unit Price]]</f>
        <v>720</v>
      </c>
      <c r="T506" s="25">
        <f>Invoices[[#This Row],[Revenue]]-Invoices[[#This Row],[Cost]]</f>
        <v>554.4</v>
      </c>
      <c r="U506" s="25" t="str">
        <f>TEXT(Invoices[[#This Row],[Date]],"MMM")</f>
        <v>Dec</v>
      </c>
      <c r="V506" s="29">
        <f>CHOOSE(MONTH(Invoices[[#This Row],[Date]]),1,1,1,2,2,2,3,3,3,4,4,4)</f>
        <v>4</v>
      </c>
      <c r="W506" s="30">
        <f>IFERROR(Invoices[[#This Row],[Profit]]/Invoices[[#This Row],[Revenue]],0)</f>
        <v>0.77</v>
      </c>
    </row>
    <row r="507" spans="1:23" x14ac:dyDescent="0.3">
      <c r="A507" s="19" t="s">
        <v>5</v>
      </c>
      <c r="B507" s="9">
        <v>22975</v>
      </c>
      <c r="C507" s="15">
        <v>41639</v>
      </c>
      <c r="D507" s="9">
        <v>111</v>
      </c>
      <c r="E507" s="10" t="s">
        <v>77</v>
      </c>
      <c r="F507" s="8">
        <v>1</v>
      </c>
      <c r="G507" s="10"/>
      <c r="H507" s="4" t="s">
        <v>133</v>
      </c>
      <c r="I507" s="4" t="s">
        <v>50</v>
      </c>
      <c r="J507" s="4">
        <v>15</v>
      </c>
      <c r="K507" s="23">
        <v>40</v>
      </c>
      <c r="L507">
        <f>IF(Invoices[[#This Row],[Document Type]]="Return",Invoices[[#This Row],[Unit Price]]*-1,Invoices[[#This Row],[Unit Price]])</f>
        <v>40</v>
      </c>
      <c r="M507" t="str">
        <f>IF(Invoices[[#This Row],[New Unit Price]]&lt;0,"Return",
IF(Invoices[[#This Row],[New Unit Price]]=0,"Free",IF(Invoices[[#This Row],[New Unit Price]]&lt;100,"Basic","Premium")))</f>
        <v>Basic</v>
      </c>
      <c r="N507">
        <f>VLOOKUP(Invoices[[#This Row],[Part  '#]],Products[],4,0)</f>
        <v>5.4</v>
      </c>
      <c r="O507" t="str">
        <f>VLOOKUP(Invoices[[#This Row],[Customer Account]],Customers[],4,0)</f>
        <v>Automotive</v>
      </c>
      <c r="P507" t="str">
        <f>VLOOKUP(Invoices[[#This Row],[Customer Account]],Customers[],3,0)</f>
        <v>Alabama</v>
      </c>
      <c r="Q507" t="str">
        <f>VLOOKUP(Invoices[[#This Row],[Part  '#]],Products[],3,0)</f>
        <v>Consumables</v>
      </c>
      <c r="R507" s="25">
        <f>Invoices[[#This Row],[Quantity]]*Invoices[[#This Row],[Unit Cost]]</f>
        <v>81</v>
      </c>
      <c r="S507" s="25">
        <f>Invoices[[#This Row],[Quantity]]*Invoices[[#This Row],[New Unit Price]]</f>
        <v>600</v>
      </c>
      <c r="T507" s="25">
        <f>Invoices[[#This Row],[Revenue]]-Invoices[[#This Row],[Cost]]</f>
        <v>519</v>
      </c>
      <c r="U507" s="25" t="str">
        <f>TEXT(Invoices[[#This Row],[Date]],"MMM")</f>
        <v>Dec</v>
      </c>
      <c r="V507" s="29">
        <f>CHOOSE(MONTH(Invoices[[#This Row],[Date]]),1,1,1,2,2,2,3,3,3,4,4,4)</f>
        <v>4</v>
      </c>
      <c r="W507" s="30">
        <f>IFERROR(Invoices[[#This Row],[Profit]]/Invoices[[#This Row],[Revenue]],0)</f>
        <v>0.86499999999999999</v>
      </c>
    </row>
    <row r="508" spans="1:23" x14ac:dyDescent="0.3">
      <c r="A508" s="19" t="s">
        <v>5</v>
      </c>
      <c r="B508" s="9">
        <v>22975</v>
      </c>
      <c r="C508" s="15">
        <v>41639</v>
      </c>
      <c r="D508" s="9">
        <v>111</v>
      </c>
      <c r="E508" s="10" t="s">
        <v>77</v>
      </c>
      <c r="F508" s="8">
        <v>2</v>
      </c>
      <c r="G508" s="10"/>
      <c r="H508" s="4" t="s">
        <v>134</v>
      </c>
      <c r="I508" s="4" t="s">
        <v>51</v>
      </c>
      <c r="J508" s="4">
        <v>15</v>
      </c>
      <c r="K508" s="23">
        <v>70</v>
      </c>
      <c r="L508">
        <f>IF(Invoices[[#This Row],[Document Type]]="Return",Invoices[[#This Row],[Unit Price]]*-1,Invoices[[#This Row],[Unit Price]])</f>
        <v>70</v>
      </c>
      <c r="M508" t="str">
        <f>IF(Invoices[[#This Row],[New Unit Price]]&lt;0,"Return",
IF(Invoices[[#This Row],[New Unit Price]]=0,"Free",IF(Invoices[[#This Row],[New Unit Price]]&lt;100,"Basic","Premium")))</f>
        <v>Basic</v>
      </c>
      <c r="N508">
        <f>VLOOKUP(Invoices[[#This Row],[Part  '#]],Products[],4,0)</f>
        <v>8.3699999999999992</v>
      </c>
      <c r="O508" t="str">
        <f>VLOOKUP(Invoices[[#This Row],[Customer Account]],Customers[],4,0)</f>
        <v>Automotive</v>
      </c>
      <c r="P508" t="str">
        <f>VLOOKUP(Invoices[[#This Row],[Customer Account]],Customers[],3,0)</f>
        <v>Alabama</v>
      </c>
      <c r="Q508" t="str">
        <f>VLOOKUP(Invoices[[#This Row],[Part  '#]],Products[],3,0)</f>
        <v>Consumables</v>
      </c>
      <c r="R508" s="25">
        <f>Invoices[[#This Row],[Quantity]]*Invoices[[#This Row],[Unit Cost]]</f>
        <v>125.54999999999998</v>
      </c>
      <c r="S508" s="25">
        <f>Invoices[[#This Row],[Quantity]]*Invoices[[#This Row],[New Unit Price]]</f>
        <v>1050</v>
      </c>
      <c r="T508" s="25">
        <f>Invoices[[#This Row],[Revenue]]-Invoices[[#This Row],[Cost]]</f>
        <v>924.45</v>
      </c>
      <c r="U508" s="25" t="str">
        <f>TEXT(Invoices[[#This Row],[Date]],"MMM")</f>
        <v>Dec</v>
      </c>
      <c r="V508" s="29">
        <f>CHOOSE(MONTH(Invoices[[#This Row],[Date]]),1,1,1,2,2,2,3,3,3,4,4,4)</f>
        <v>4</v>
      </c>
      <c r="W508" s="30">
        <f>IFERROR(Invoices[[#This Row],[Profit]]/Invoices[[#This Row],[Revenue]],0)</f>
        <v>0.88042857142857145</v>
      </c>
    </row>
  </sheetData>
  <sortState xmlns:xlrd2="http://schemas.microsoft.com/office/spreadsheetml/2017/richdata2" ref="B2:K479">
    <sortCondition ref="B2:B479"/>
    <sortCondition ref="D2:D479"/>
  </sortState>
  <printOptions horizontalCentered="1"/>
  <pageMargins left="0.45" right="0.45" top="0.75" bottom="0.75" header="0.3" footer="0.3"/>
  <pageSetup scale="65" fitToHeight="0" orientation="landscape" horizontalDpi="4294967293" verticalDpi="4294967293"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0F2708-31DE-4BE1-AEC5-E9A71F6CC9B8}">
  <dimension ref="A3:A4"/>
  <sheetViews>
    <sheetView workbookViewId="0">
      <selection activeCell="A4" sqref="A4"/>
    </sheetView>
  </sheetViews>
  <sheetFormatPr defaultRowHeight="14.4" x14ac:dyDescent="0.3"/>
  <cols>
    <col min="1" max="2" width="18.77734375" bestFit="1" customWidth="1"/>
    <col min="3" max="3" width="7" bestFit="1" customWidth="1"/>
    <col min="4" max="4" width="7.44140625" bestFit="1" customWidth="1"/>
    <col min="5" max="5" width="13.33203125" bestFit="1" customWidth="1"/>
    <col min="6" max="6" width="13.44140625" bestFit="1" customWidth="1"/>
    <col min="7" max="7" width="9.77734375" bestFit="1" customWidth="1"/>
    <col min="8" max="8" width="10.77734375" bestFit="1" customWidth="1"/>
  </cols>
  <sheetData>
    <row r="3" spans="1:1" x14ac:dyDescent="0.3">
      <c r="A3" t="s">
        <v>186</v>
      </c>
    </row>
    <row r="4" spans="1:1" x14ac:dyDescent="0.3">
      <c r="A4" s="27">
        <v>0.52467593049130257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750F61-CD1F-4A88-BDB8-D60610676473}">
  <dimension ref="A3:D11"/>
  <sheetViews>
    <sheetView workbookViewId="0">
      <selection activeCell="L3" sqref="L3"/>
    </sheetView>
  </sheetViews>
  <sheetFormatPr defaultRowHeight="14.4" x14ac:dyDescent="0.3"/>
  <cols>
    <col min="1" max="1" width="14.88671875" bestFit="1" customWidth="1"/>
    <col min="2" max="2" width="15.5546875" bestFit="1" customWidth="1"/>
    <col min="3" max="4" width="13.109375" bestFit="1" customWidth="1"/>
  </cols>
  <sheetData>
    <row r="3" spans="1:4" x14ac:dyDescent="0.3">
      <c r="A3" s="26" t="s">
        <v>183</v>
      </c>
      <c r="B3" s="26" t="s">
        <v>184</v>
      </c>
    </row>
    <row r="4" spans="1:4" x14ac:dyDescent="0.3">
      <c r="A4" s="26" t="s">
        <v>181</v>
      </c>
      <c r="B4" t="s">
        <v>78</v>
      </c>
      <c r="C4" t="s">
        <v>79</v>
      </c>
      <c r="D4" t="s">
        <v>182</v>
      </c>
    </row>
    <row r="5" spans="1:4" x14ac:dyDescent="0.3">
      <c r="A5" s="2" t="s">
        <v>76</v>
      </c>
      <c r="B5" s="28">
        <v>135690</v>
      </c>
      <c r="C5" s="28">
        <v>0</v>
      </c>
      <c r="D5" s="28">
        <v>135690</v>
      </c>
    </row>
    <row r="6" spans="1:4" x14ac:dyDescent="0.3">
      <c r="A6" s="2" t="s">
        <v>64</v>
      </c>
      <c r="B6" s="28">
        <v>0</v>
      </c>
      <c r="C6" s="28">
        <v>80800</v>
      </c>
      <c r="D6" s="28">
        <v>80800</v>
      </c>
    </row>
    <row r="7" spans="1:4" x14ac:dyDescent="0.3">
      <c r="A7" s="2" t="s">
        <v>62</v>
      </c>
      <c r="B7" s="28">
        <v>172230</v>
      </c>
      <c r="C7" s="28">
        <v>247370</v>
      </c>
      <c r="D7" s="28">
        <v>419600</v>
      </c>
    </row>
    <row r="8" spans="1:4" x14ac:dyDescent="0.3">
      <c r="A8" s="2" t="s">
        <v>66</v>
      </c>
      <c r="B8" s="28">
        <v>32773</v>
      </c>
      <c r="C8" s="28">
        <v>0</v>
      </c>
      <c r="D8" s="28">
        <v>32773</v>
      </c>
    </row>
    <row r="9" spans="1:4" x14ac:dyDescent="0.3">
      <c r="A9" s="2" t="s">
        <v>68</v>
      </c>
      <c r="B9" s="28">
        <v>114880</v>
      </c>
      <c r="C9" s="28">
        <v>0</v>
      </c>
      <c r="D9" s="28">
        <v>114880</v>
      </c>
    </row>
    <row r="10" spans="1:4" x14ac:dyDescent="0.3">
      <c r="A10" s="2" t="s">
        <v>70</v>
      </c>
      <c r="B10" s="28">
        <v>149205</v>
      </c>
      <c r="C10" s="28">
        <v>0</v>
      </c>
      <c r="D10" s="28">
        <v>149205</v>
      </c>
    </row>
    <row r="11" spans="1:4" x14ac:dyDescent="0.3">
      <c r="A11" s="2" t="s">
        <v>182</v>
      </c>
      <c r="B11" s="28">
        <v>604778</v>
      </c>
      <c r="C11" s="28">
        <v>328170</v>
      </c>
      <c r="D11" s="28">
        <v>932948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6D350-2EAF-461A-869F-0A2E92CA6FDB}">
  <dimension ref="A3:E11"/>
  <sheetViews>
    <sheetView topLeftCell="K1" workbookViewId="0">
      <selection activeCell="A4" sqref="A4"/>
    </sheetView>
  </sheetViews>
  <sheetFormatPr defaultRowHeight="14.4" x14ac:dyDescent="0.3"/>
  <cols>
    <col min="1" max="1" width="14.88671875" bestFit="1" customWidth="1"/>
    <col min="2" max="2" width="15.5546875" bestFit="1" customWidth="1"/>
    <col min="3" max="5" width="13.109375" bestFit="1" customWidth="1"/>
  </cols>
  <sheetData>
    <row r="3" spans="1:5" x14ac:dyDescent="0.3">
      <c r="A3" s="26" t="s">
        <v>183</v>
      </c>
      <c r="B3" s="26" t="s">
        <v>184</v>
      </c>
    </row>
    <row r="4" spans="1:5" x14ac:dyDescent="0.3">
      <c r="A4" s="26" t="s">
        <v>181</v>
      </c>
      <c r="B4" t="s">
        <v>35</v>
      </c>
      <c r="C4" t="s">
        <v>36</v>
      </c>
      <c r="D4" t="s">
        <v>34</v>
      </c>
      <c r="E4" t="s">
        <v>182</v>
      </c>
    </row>
    <row r="5" spans="1:5" x14ac:dyDescent="0.3">
      <c r="A5" s="2" t="s">
        <v>76</v>
      </c>
      <c r="B5" s="28">
        <v>8140</v>
      </c>
      <c r="C5" s="28">
        <v>34550</v>
      </c>
      <c r="D5" s="28">
        <v>93000</v>
      </c>
      <c r="E5" s="28">
        <v>135690</v>
      </c>
    </row>
    <row r="6" spans="1:5" x14ac:dyDescent="0.3">
      <c r="A6" s="2" t="s">
        <v>64</v>
      </c>
      <c r="B6" s="28">
        <v>690</v>
      </c>
      <c r="C6" s="28">
        <v>23360</v>
      </c>
      <c r="D6" s="28">
        <v>56750</v>
      </c>
      <c r="E6" s="28">
        <v>80800</v>
      </c>
    </row>
    <row r="7" spans="1:5" x14ac:dyDescent="0.3">
      <c r="A7" s="2" t="s">
        <v>62</v>
      </c>
      <c r="B7" s="28">
        <v>6590</v>
      </c>
      <c r="C7" s="28">
        <v>206960</v>
      </c>
      <c r="D7" s="28">
        <v>206050</v>
      </c>
      <c r="E7" s="28">
        <v>419600</v>
      </c>
    </row>
    <row r="8" spans="1:5" x14ac:dyDescent="0.3">
      <c r="A8" s="2" t="s">
        <v>66</v>
      </c>
      <c r="B8" s="28">
        <v>710</v>
      </c>
      <c r="C8" s="28">
        <v>17563</v>
      </c>
      <c r="D8" s="28">
        <v>14500</v>
      </c>
      <c r="E8" s="28">
        <v>32773</v>
      </c>
    </row>
    <row r="9" spans="1:5" x14ac:dyDescent="0.3">
      <c r="A9" s="2" t="s">
        <v>68</v>
      </c>
      <c r="B9" s="28">
        <v>0</v>
      </c>
      <c r="C9" s="28">
        <v>39880</v>
      </c>
      <c r="D9" s="28">
        <v>75000</v>
      </c>
      <c r="E9" s="28">
        <v>114880</v>
      </c>
    </row>
    <row r="10" spans="1:5" x14ac:dyDescent="0.3">
      <c r="A10" s="2" t="s">
        <v>70</v>
      </c>
      <c r="B10" s="28">
        <v>2495</v>
      </c>
      <c r="C10" s="28">
        <v>65110</v>
      </c>
      <c r="D10" s="28">
        <v>81600</v>
      </c>
      <c r="E10" s="28">
        <v>149205</v>
      </c>
    </row>
    <row r="11" spans="1:5" x14ac:dyDescent="0.3">
      <c r="A11" s="2" t="s">
        <v>182</v>
      </c>
      <c r="B11" s="28">
        <v>18625</v>
      </c>
      <c r="C11" s="28">
        <v>387423</v>
      </c>
      <c r="D11" s="28">
        <v>526900</v>
      </c>
      <c r="E11" s="28">
        <v>932948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DCB662-0E14-43AE-95FB-AF3A5E86E8C6}">
  <dimension ref="A1:G12"/>
  <sheetViews>
    <sheetView workbookViewId="0">
      <selection activeCell="M17" sqref="M17"/>
    </sheetView>
  </sheetViews>
  <sheetFormatPr defaultRowHeight="14.4" x14ac:dyDescent="0.3"/>
  <cols>
    <col min="1" max="1" width="13.109375" bestFit="1" customWidth="1"/>
    <col min="2" max="2" width="15.5546875" bestFit="1" customWidth="1"/>
    <col min="3" max="3" width="14.88671875" bestFit="1" customWidth="1"/>
    <col min="4" max="4" width="13.109375" bestFit="1" customWidth="1"/>
    <col min="5" max="5" width="14.88671875" bestFit="1" customWidth="1"/>
    <col min="6" max="6" width="15.88671875" bestFit="1" customWidth="1"/>
    <col min="7" max="7" width="19.6640625" bestFit="1" customWidth="1"/>
  </cols>
  <sheetData>
    <row r="1" spans="1:7" x14ac:dyDescent="0.3">
      <c r="A1" s="26" t="s">
        <v>156</v>
      </c>
      <c r="B1" t="s">
        <v>189</v>
      </c>
    </row>
    <row r="3" spans="1:7" x14ac:dyDescent="0.3">
      <c r="B3" s="26" t="s">
        <v>184</v>
      </c>
    </row>
    <row r="4" spans="1:7" x14ac:dyDescent="0.3">
      <c r="B4" t="s">
        <v>78</v>
      </c>
      <c r="D4" t="s">
        <v>79</v>
      </c>
      <c r="F4" t="s">
        <v>188</v>
      </c>
      <c r="G4" t="s">
        <v>185</v>
      </c>
    </row>
    <row r="5" spans="1:7" x14ac:dyDescent="0.3">
      <c r="A5" s="26" t="s">
        <v>181</v>
      </c>
      <c r="B5" t="s">
        <v>187</v>
      </c>
      <c r="C5" t="s">
        <v>183</v>
      </c>
      <c r="D5" t="s">
        <v>187</v>
      </c>
      <c r="E5" t="s">
        <v>183</v>
      </c>
    </row>
    <row r="6" spans="1:7" x14ac:dyDescent="0.3">
      <c r="A6" s="2" t="s">
        <v>76</v>
      </c>
      <c r="B6" s="28">
        <v>67289.75</v>
      </c>
      <c r="C6" s="28">
        <v>135690</v>
      </c>
      <c r="D6" s="28">
        <v>0</v>
      </c>
      <c r="E6" s="28">
        <v>0</v>
      </c>
      <c r="F6" s="28">
        <v>67289.75</v>
      </c>
      <c r="G6" s="28">
        <v>135690</v>
      </c>
    </row>
    <row r="7" spans="1:7" x14ac:dyDescent="0.3">
      <c r="A7" s="2" t="s">
        <v>64</v>
      </c>
      <c r="B7" s="28">
        <v>0</v>
      </c>
      <c r="C7" s="28">
        <v>0</v>
      </c>
      <c r="D7" s="28">
        <v>39350.78</v>
      </c>
      <c r="E7" s="28">
        <v>80800</v>
      </c>
      <c r="F7" s="28">
        <v>39350.78</v>
      </c>
      <c r="G7" s="28">
        <v>80800</v>
      </c>
    </row>
    <row r="8" spans="1:7" x14ac:dyDescent="0.3">
      <c r="A8" s="2" t="s">
        <v>62</v>
      </c>
      <c r="B8" s="28">
        <v>74550.14999999998</v>
      </c>
      <c r="C8" s="28">
        <v>172230</v>
      </c>
      <c r="D8" s="28">
        <v>116407.40000000001</v>
      </c>
      <c r="E8" s="28">
        <v>247370</v>
      </c>
      <c r="F8" s="28">
        <v>190957.55</v>
      </c>
      <c r="G8" s="28">
        <v>419600</v>
      </c>
    </row>
    <row r="9" spans="1:7" x14ac:dyDescent="0.3">
      <c r="A9" s="2" t="s">
        <v>66</v>
      </c>
      <c r="B9" s="28">
        <v>15682.989999999998</v>
      </c>
      <c r="C9" s="28">
        <v>32773</v>
      </c>
      <c r="D9" s="28">
        <v>0</v>
      </c>
      <c r="E9" s="28">
        <v>0</v>
      </c>
      <c r="F9" s="28">
        <v>15682.989999999998</v>
      </c>
      <c r="G9" s="28">
        <v>32773</v>
      </c>
    </row>
    <row r="10" spans="1:7" x14ac:dyDescent="0.3">
      <c r="A10" s="2" t="s">
        <v>68</v>
      </c>
      <c r="B10" s="28">
        <v>60674.5</v>
      </c>
      <c r="C10" s="28">
        <v>114880</v>
      </c>
      <c r="D10" s="28">
        <v>0</v>
      </c>
      <c r="E10" s="28">
        <v>0</v>
      </c>
      <c r="F10" s="28">
        <v>60674.5</v>
      </c>
      <c r="G10" s="28">
        <v>114880</v>
      </c>
    </row>
    <row r="11" spans="1:7" x14ac:dyDescent="0.3">
      <c r="A11" s="2" t="s">
        <v>70</v>
      </c>
      <c r="B11" s="28">
        <v>69497.070000000007</v>
      </c>
      <c r="C11" s="28">
        <v>149205</v>
      </c>
      <c r="D11" s="28">
        <v>0</v>
      </c>
      <c r="E11" s="28">
        <v>0</v>
      </c>
      <c r="F11" s="28">
        <v>69497.070000000007</v>
      </c>
      <c r="G11" s="28">
        <v>149205</v>
      </c>
    </row>
    <row r="12" spans="1:7" x14ac:dyDescent="0.3">
      <c r="A12" s="2" t="s">
        <v>182</v>
      </c>
      <c r="B12" s="28">
        <v>287694.45999999996</v>
      </c>
      <c r="C12" s="28">
        <v>604778</v>
      </c>
      <c r="D12" s="28">
        <v>155758.18</v>
      </c>
      <c r="E12" s="28">
        <v>328170</v>
      </c>
      <c r="F12" s="28">
        <v>443452.63999999996</v>
      </c>
      <c r="G12" s="28">
        <v>932948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8639EC-F8F3-443D-9A97-87327153BCC0}">
  <dimension ref="A1:B8"/>
  <sheetViews>
    <sheetView workbookViewId="0">
      <selection activeCell="J25" sqref="J25"/>
    </sheetView>
  </sheetViews>
  <sheetFormatPr defaultRowHeight="14.4" x14ac:dyDescent="0.3"/>
  <cols>
    <col min="1" max="1" width="28.88671875" bestFit="1" customWidth="1"/>
    <col min="2" max="3" width="14.88671875" bestFit="1" customWidth="1"/>
  </cols>
  <sheetData>
    <row r="1" spans="1:2" x14ac:dyDescent="0.3">
      <c r="A1" s="26" t="s">
        <v>146</v>
      </c>
      <c r="B1" t="s">
        <v>141</v>
      </c>
    </row>
    <row r="3" spans="1:2" x14ac:dyDescent="0.3">
      <c r="A3" s="26" t="s">
        <v>181</v>
      </c>
      <c r="B3" t="s">
        <v>183</v>
      </c>
    </row>
    <row r="4" spans="1:2" x14ac:dyDescent="0.3">
      <c r="A4" s="2" t="s">
        <v>142</v>
      </c>
      <c r="B4" s="25">
        <v>-450</v>
      </c>
    </row>
    <row r="5" spans="1:2" x14ac:dyDescent="0.3">
      <c r="A5" s="2" t="s">
        <v>139</v>
      </c>
      <c r="B5" s="25">
        <v>-7850</v>
      </c>
    </row>
    <row r="6" spans="1:2" x14ac:dyDescent="0.3">
      <c r="A6" s="2" t="s">
        <v>143</v>
      </c>
      <c r="B6" s="25">
        <v>-7900</v>
      </c>
    </row>
    <row r="7" spans="1:2" x14ac:dyDescent="0.3">
      <c r="A7" s="2" t="s">
        <v>144</v>
      </c>
      <c r="B7" s="25">
        <v>-3070</v>
      </c>
    </row>
    <row r="8" spans="1:2" x14ac:dyDescent="0.3">
      <c r="A8" s="2" t="s">
        <v>182</v>
      </c>
      <c r="B8" s="25">
        <v>-19270</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6A9EF5-DE7D-4D8C-BA93-D4AD1A00F7C8}">
  <dimension ref="A1:N27"/>
  <sheetViews>
    <sheetView showGridLines="0" tabSelected="1" zoomScale="76" zoomScaleNormal="90" workbookViewId="0">
      <selection activeCell="O32" sqref="O32"/>
    </sheetView>
  </sheetViews>
  <sheetFormatPr defaultRowHeight="14.4" x14ac:dyDescent="0.3"/>
  <cols>
    <col min="1" max="1" width="8.88671875" style="31"/>
    <col min="2" max="2" width="19.33203125" style="31" bestFit="1" customWidth="1"/>
    <col min="3" max="3" width="8.88671875" style="31"/>
    <col min="4" max="4" width="19.33203125" style="31" bestFit="1" customWidth="1"/>
    <col min="5" max="5" width="8.88671875" style="31"/>
    <col min="6" max="6" width="19.33203125" style="31" bestFit="1" customWidth="1"/>
    <col min="7" max="7" width="8.88671875" style="31"/>
    <col min="8" max="8" width="25" style="31" customWidth="1"/>
    <col min="9" max="12" width="8.88671875" style="31"/>
    <col min="13" max="13" width="8.88671875" style="31" customWidth="1"/>
    <col min="14" max="14" width="23.44140625" style="31" bestFit="1" customWidth="1"/>
    <col min="15" max="15" width="8.88671875" style="31" customWidth="1"/>
    <col min="16" max="16384" width="8.88671875" style="31"/>
  </cols>
  <sheetData>
    <row r="1" spans="1:14" ht="44.4" customHeight="1" thickBot="1" x14ac:dyDescent="0.35">
      <c r="A1" s="41" t="s">
        <v>197</v>
      </c>
      <c r="B1" s="41"/>
      <c r="C1" s="41"/>
      <c r="D1" s="41"/>
      <c r="E1" s="41"/>
      <c r="F1" s="41"/>
      <c r="G1" s="41"/>
      <c r="H1" s="41"/>
    </row>
    <row r="2" spans="1:14" ht="26.4" customHeight="1" x14ac:dyDescent="0.3">
      <c r="B2" s="37" t="s">
        <v>193</v>
      </c>
      <c r="C2" s="32"/>
      <c r="D2" s="37" t="s">
        <v>194</v>
      </c>
      <c r="E2" s="32"/>
      <c r="F2" s="37" t="s">
        <v>195</v>
      </c>
      <c r="G2" s="32"/>
      <c r="H2" s="37" t="s">
        <v>196</v>
      </c>
    </row>
    <row r="3" spans="1:14" ht="21.6" thickBot="1" x14ac:dyDescent="0.45">
      <c r="B3" s="38">
        <f>SUM(Invoices[Revenue])</f>
        <v>932948</v>
      </c>
      <c r="C3" s="33"/>
      <c r="D3" s="39">
        <f>SUM(Invoices[Cost])</f>
        <v>443452.64000000031</v>
      </c>
      <c r="E3" s="33"/>
      <c r="F3" s="39">
        <f>SUM(Invoices[Profit])</f>
        <v>489495.35999999975</v>
      </c>
      <c r="G3" s="33"/>
      <c r="H3" s="40">
        <f>SUM(Invoices[Profit])/SUM(Invoices[Revenue])</f>
        <v>0.52467593049130257</v>
      </c>
    </row>
    <row r="14" spans="1:14" x14ac:dyDescent="0.3">
      <c r="N14" s="34"/>
    </row>
    <row r="19" spans="14:14" x14ac:dyDescent="0.3">
      <c r="N19" s="35"/>
    </row>
    <row r="23" spans="14:14" x14ac:dyDescent="0.3">
      <c r="N23" s="35"/>
    </row>
    <row r="27" spans="14:14" x14ac:dyDescent="0.3">
      <c r="N27" s="36"/>
    </row>
  </sheetData>
  <mergeCells count="1">
    <mergeCell ref="A1:H1"/>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Tasks</vt:lpstr>
      <vt:lpstr>Products</vt:lpstr>
      <vt:lpstr>Customers</vt:lpstr>
      <vt:lpstr>Invoices</vt:lpstr>
      <vt:lpstr>Profit_margin</vt:lpstr>
      <vt:lpstr>Region vs cust type</vt:lpstr>
      <vt:lpstr>Region vs Product line</vt:lpstr>
      <vt:lpstr> Product  analysis</vt:lpstr>
      <vt:lpstr>Return_Analysis Sheet</vt:lpstr>
      <vt:lpstr>DashBoard</vt:lpstr>
    </vt:vector>
  </TitlesOfParts>
  <Company>DLS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Ajmal Patel</cp:lastModifiedBy>
  <cp:lastPrinted>2013-11-26T18:04:28Z</cp:lastPrinted>
  <dcterms:created xsi:type="dcterms:W3CDTF">2013-09-27T17:24:51Z</dcterms:created>
  <dcterms:modified xsi:type="dcterms:W3CDTF">2026-04-13T15:26:33Z</dcterms:modified>
</cp:coreProperties>
</file>